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mbre\Documents\TreeCity_Stage\CPlantBox\CPlantBox-master\modelparameter_TreeCity\soils\"/>
    </mc:Choice>
  </mc:AlternateContent>
  <xr:revisionPtr revIDLastSave="0" documentId="13_ncr:1_{0BF6E1C7-FCEF-433E-BC9D-A5326ED5E25B}" xr6:coauthVersionLast="47" xr6:coauthVersionMax="47" xr10:uidLastSave="{00000000-0000-0000-0000-000000000000}"/>
  <bookViews>
    <workbookView xWindow="-110" yWindow="-110" windowWidth="25820" windowHeight="13900" firstSheet="4" activeTab="8" xr2:uid="{00000000-000D-0000-FFFF-FFFF00000000}"/>
  </bookViews>
  <sheets>
    <sheet name="General information Model Van G" sheetId="1" r:id="rId1"/>
    <sheet name="Parameters VG per soil type" sheetId="2" r:id="rId2"/>
    <sheet name="Natural" sheetId="3" r:id="rId3"/>
    <sheet name="Urban - potential sources" sheetId="4" r:id="rId4"/>
    <sheet name="Urban - data collected" sheetId="5" r:id="rId5"/>
    <sheet name="Urban - artefacts compo" sheetId="6" r:id="rId6"/>
    <sheet name="Urban - Profil desc" sheetId="7" r:id="rId7"/>
    <sheet name="Urban - data sources" sheetId="8" r:id="rId8"/>
    <sheet name="classification Technosols" sheetId="9" r:id="rId9"/>
  </sheets>
  <definedNames>
    <definedName name="_xlnm._FilterDatabase" localSheetId="4" hidden="1">'Urban - data collected'!$A$1:$O$58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2" l="1"/>
  <c r="F12" i="2"/>
  <c r="F11" i="2"/>
  <c r="F10" i="2"/>
  <c r="F9" i="2"/>
  <c r="F8" i="2"/>
  <c r="F7" i="2"/>
  <c r="F6" i="2"/>
  <c r="F5" i="2"/>
  <c r="F4" i="2"/>
  <c r="F3" i="2"/>
  <c r="F2" i="2"/>
</calcChain>
</file>

<file path=xl/sharedStrings.xml><?xml version="1.0" encoding="utf-8"?>
<sst xmlns="http://schemas.openxmlformats.org/spreadsheetml/2006/main" count="399" uniqueCount="242">
  <si>
    <t>Parameter</t>
  </si>
  <si>
    <t>Symbol</t>
  </si>
  <si>
    <t>Unit</t>
  </si>
  <si>
    <t>Explanations</t>
  </si>
  <si>
    <t>Residual water content</t>
  </si>
  <si>
    <r>
      <rPr>
        <sz val="11"/>
        <color theme="1"/>
        <rFont val="Roboto"/>
      </rPr>
      <t>θ</t>
    </r>
    <r>
      <rPr>
        <vertAlign val="subscript"/>
        <sz val="11"/>
        <color theme="1"/>
        <rFont val="Calibri"/>
      </rPr>
      <t>r</t>
    </r>
  </si>
  <si>
    <r>
      <rPr>
        <sz val="11"/>
        <color theme="1"/>
        <rFont val="Roboto"/>
      </rPr>
      <t>cm</t>
    </r>
    <r>
      <rPr>
        <vertAlign val="superscript"/>
        <sz val="11"/>
        <color theme="1"/>
        <rFont val="Calibri"/>
      </rPr>
      <t>3</t>
    </r>
    <r>
      <rPr>
        <sz val="11"/>
        <color theme="1"/>
        <rFont val="Calibri"/>
      </rPr>
      <t>/cm</t>
    </r>
    <r>
      <rPr>
        <vertAlign val="superscript"/>
        <sz val="11"/>
        <color theme="1"/>
        <rFont val="Calibri"/>
      </rPr>
      <t>3</t>
    </r>
  </si>
  <si>
    <t>amount of water that remains "blocked" in the soil even at very high suction pressures</t>
  </si>
  <si>
    <t>Saturated water content</t>
  </si>
  <si>
    <t>θs</t>
  </si>
  <si>
    <t>maximum amount of water the soil can hold (saturated pores)</t>
  </si>
  <si>
    <t>Scale parameter</t>
  </si>
  <si>
    <t>α</t>
  </si>
  <si>
    <r>
      <rPr>
        <sz val="11"/>
        <color theme="1"/>
        <rFont val="Roboto"/>
      </rPr>
      <t>cm</t>
    </r>
    <r>
      <rPr>
        <vertAlign val="superscript"/>
        <sz val="11"/>
        <color theme="1"/>
        <rFont val="Calibri"/>
      </rPr>
      <t>-1</t>
    </r>
  </si>
  <si>
    <t>inverse of the air entry pressure
 - high: the soil starts to empty of its water at very low suctions
 - low: a strong suction must be applied to start emptying the soil</t>
  </si>
  <si>
    <t>Pore size distribution index</t>
  </si>
  <si>
    <t>n</t>
  </si>
  <si>
    <t>&gt; 1
Reflects the pore size distribution in the soil
 - high: pores of very similar size, resulting in a sharply dropping curve
 - close to 1: wide variety of pore sizes, resulting in a more gradual curve</t>
  </si>
  <si>
    <t>Saturated hydraulic conductivity</t>
  </si>
  <si>
    <r>
      <rPr>
        <sz val="11"/>
        <color theme="1"/>
        <rFont val="Roboto"/>
      </rPr>
      <t>K</t>
    </r>
    <r>
      <rPr>
        <vertAlign val="subscript"/>
        <sz val="11"/>
        <color theme="1"/>
        <rFont val="Calibri"/>
      </rPr>
      <t>s</t>
    </r>
  </si>
  <si>
    <t>cm/day</t>
  </si>
  <si>
    <t>maximum speed at which water can pass through the soil when all pores are filled with water</t>
  </si>
  <si>
    <t>Soil Type</t>
  </si>
  <si>
    <t>Sand (%)</t>
  </si>
  <si>
    <t>Clay (%)</t>
  </si>
  <si>
    <t>θs (cm³/cm³)</t>
  </si>
  <si>
    <t>θr (cm³/cm³)</t>
  </si>
  <si>
    <t>Ks (cm/jour)</t>
  </si>
  <si>
    <t>α (cm⁻¹)</t>
  </si>
  <si>
    <t>Source</t>
  </si>
  <si>
    <t>Source name</t>
  </si>
  <si>
    <t>Source number</t>
  </si>
  <si>
    <t>Link from drive</t>
  </si>
  <si>
    <t>Notes</t>
  </si>
  <si>
    <t>Clay</t>
  </si>
  <si>
    <t>Developing Joint Probability Distributions of Soil Water Retention Characteristics</t>
  </si>
  <si>
    <t>Developing_Joint_Probability_Distributions_of_Soil_Water_Retention_Characteristics.PDF</t>
  </si>
  <si>
    <t xml:space="preserve">Ce sont des données de milieux naturels, les sols urbains (sols compactés et hétérogènes) n'auront donc pas ces paramètres. </t>
  </si>
  <si>
    <t>Clay loam</t>
  </si>
  <si>
    <t>Il est aussi possible que ce modèle ne soit pas suffisant pour représenter correctement un sol urbain, cela reste à vérifier</t>
  </si>
  <si>
    <t>Loam</t>
  </si>
  <si>
    <t>Loamy sand</t>
  </si>
  <si>
    <t>Silt</t>
  </si>
  <si>
    <t>Silt loam</t>
  </si>
  <si>
    <t>Silty clay</t>
  </si>
  <si>
    <t>Silty clay loam</t>
  </si>
  <si>
    <t>Sand</t>
  </si>
  <si>
    <t>Sandy clay</t>
  </si>
  <si>
    <t>Sandy clay loam</t>
  </si>
  <si>
    <t>Sandy loam</t>
  </si>
  <si>
    <t>Location</t>
  </si>
  <si>
    <t>Layer type</t>
  </si>
  <si>
    <t>Sub-layers</t>
  </si>
  <si>
    <t>Lithology</t>
  </si>
  <si>
    <t>average thickness (m)</t>
  </si>
  <si>
    <t>depth (m)</t>
  </si>
  <si>
    <t>Comments</t>
  </si>
  <si>
    <t>Brussels-Capital Region</t>
  </si>
  <si>
    <t>Quaternary</t>
  </si>
  <si>
    <t>first layer, regardless of thickness</t>
  </si>
  <si>
    <t>Modélisation stratigraphique en 2D et 3D du sous-sol de la Région de Bruxelles-Capitale</t>
  </si>
  <si>
    <t>Tielt (Lower Eocene)</t>
  </si>
  <si>
    <t>Alternation of fine glauconitic and micaceous sands with clay layers</t>
  </si>
  <si>
    <t>[59; 39]</t>
  </si>
  <si>
    <t>Aalbeke Member (Lower Eocene)</t>
  </si>
  <si>
    <t>Homogeneous and compact dark clay</t>
  </si>
  <si>
    <t>[39; 35]</t>
  </si>
  <si>
    <t>Moen Member (Lower Eocene)</t>
  </si>
  <si>
    <t>Clayey heterogeneous sand</t>
  </si>
  <si>
    <t>[35; 0]]</t>
  </si>
  <si>
    <t>"= NCS 2017 Mons-enPévèle"</t>
  </si>
  <si>
    <t>Saint-Maur Member (Lower Eocene)</t>
  </si>
  <si>
    <t>[0; -30]</t>
  </si>
  <si>
    <t>= NCS 2017 Orchies (top) + MontHéribu (at the base)</t>
  </si>
  <si>
    <t>Hannut Formation (Upper Palaeocene)</t>
  </si>
  <si>
    <t>Grandglise</t>
  </si>
  <si>
    <t>Fine glauconiferous sand</t>
  </si>
  <si>
    <t>[-30; -38]</t>
  </si>
  <si>
    <t xml:space="preserve">Lincent </t>
  </si>
  <si>
    <t>Grey to green clay</t>
  </si>
  <si>
    <t>[-38; -58]</t>
  </si>
  <si>
    <t>Cretaceous</t>
  </si>
  <si>
    <t>Grey to white chalk with black flints</t>
  </si>
  <si>
    <t>[-58; -78]</t>
  </si>
  <si>
    <t>Palaezoic</t>
  </si>
  <si>
    <t>feldspathic sandstones, phyllites, quartzites</t>
  </si>
  <si>
    <t>&gt;120</t>
  </si>
  <si>
    <t>Source link</t>
  </si>
  <si>
    <t>Brief description of content (AI)</t>
  </si>
  <si>
    <t>Status 
(Read / Unread / Reading)</t>
  </si>
  <si>
    <t>(PDF) Effect of Urban Soil Compaction on Infiltration Rate</t>
  </si>
  <si>
    <t>Read</t>
  </si>
  <si>
    <t>When a soil is compacted, n decrease? ("forcing a smaller
distribution of pore sizes within the soil")</t>
  </si>
  <si>
    <t>When a soil is compacted, θs decreases ("decreasing its porosity")</t>
  </si>
  <si>
    <t xml:space="preserve">When a soil is compacted, infiltration rate (~Ks ?) decreases drastically </t>
  </si>
  <si>
    <t>Pore-system characteristics of pavement seam materials of urban sites</t>
  </si>
  <si>
    <t>Root elongation, water stress, and mechanical impedance: a review of limiting stresses and beneficial root tip traits</t>
  </si>
  <si>
    <t>Root elongation, water stress, and mechanical impedance: a review of limiting stresses and beneficial root tip traits | Journal of Experimental Botany | Oxford Academic</t>
  </si>
  <si>
    <t>Bengough et al. (2011) Root elongation, water stress, and mechanical impedance: a review of limiting stresses and beneficial root tip traits</t>
  </si>
  <si>
    <t>The absolute reference on elongation equations (Bengough Model)</t>
  </si>
  <si>
    <t xml:space="preserve">Penetrometer resistance is between two and eight times greater than the root penetration resistance, the force exerted by a penetrating root divided by its cross-sectional area (Bengough and Mullins, 1990; Bengough and Mullins, 1991). </t>
  </si>
  <si>
    <t>elongation rate reduced by half for : 
- penetrometer between 0.8 MPa and 2 MPa
- matric potential &lt; -0.5 MPa
studies mainly focused on maize</t>
  </si>
  <si>
    <t>maize root elongation rate :
 Er = 31.1 - 17.8Qp + 39.3ψ + 4Qp² + 24.7ψ² + 3.3Qpψ if 0&lt;Qp&lt;2.4 MPa
 Er = 47 + 28ψ -12Qp if 0&lt;Qp&lt;2.9 MPa
where Er : elongation rate (mm d-1); Qp : penetrometer resistance (MPa) ; ψ : matric potential (MPa)</t>
  </si>
  <si>
    <t>Soil strength characteristics : 
effective stress between soil particules : 
σ' = σ - χ . ψ
where σ' : effective stress between soil particules;  σ : any externally applied stress; χ : degree
of saturation of the soil; ψ : matric potential</t>
  </si>
  <si>
    <t>Pandey et al. (2021) Plant roots sense soil compaction through restricted ethylene diffusion.</t>
  </si>
  <si>
    <t>(PDF) Plant roots sense soil compaction through restricted ethylene diffusion</t>
  </si>
  <si>
    <t>On the recent discovery of blocking mechanisms in a compacted soil</t>
  </si>
  <si>
    <t>Unread</t>
  </si>
  <si>
    <t xml:space="preserve">Moraes et al. (2025) Modelling sugarcane root elongation in response to mechanical stress as an indicator of soil physical quality. </t>
  </si>
  <si>
    <t>Modelling sugarcane root elongation in response to mechanical stress as an indicator of soil physical quality | Experimental Agriculture | Cambridge Core</t>
  </si>
  <si>
    <t>Examples of recent application of empirical models (Moraes)</t>
  </si>
  <si>
    <t>Qin, H., Xiao, M., Li, Y., &amp; Huang, R. (2024) Ethylene Modulates Rice Root Plasticity under Abiotic Stresses.</t>
  </si>
  <si>
    <t>Ethylene Modulates Rice Root Plasticity under Abiotic Stresses</t>
  </si>
  <si>
    <t>Qin et al. (2025) Effects of Soil Structure on the Growth of Rice Roots.</t>
  </si>
  <si>
    <t>Effects of Soil Structure on the Growth of Rice Roots</t>
  </si>
  <si>
    <t>Their very recent work proposes empirical models linking penetration resistance, macropores, and root elongation.</t>
  </si>
  <si>
    <t>Le modèle DESTISOL (Séré et al.) Destisol: A decision-support tool to assess the ecosystem services provided by urban soils for better urban planning.</t>
  </si>
  <si>
    <t>Destisol: A decision-support tool to assess the ecosystem services provided by urban soils for better urban planning</t>
  </si>
  <si>
    <t>It is a recent decision-support model focused on urban soils. It accurately lists the physical indicators of compaction and structure of technosols.</t>
  </si>
  <si>
    <t>presence of average values for bulk density, presence of rubble, acidity, nutrients... but not for a particular soil or particular layers --&gt; insufficient</t>
  </si>
  <si>
    <t xml:space="preserve">Craul (1992) - Urban Soil in Landscape Design </t>
  </si>
  <si>
    <t>Paid (expensive)</t>
  </si>
  <si>
    <t>It is the historical "bible". It compiles densities, compaction rates, and chemical characteristics of soils under sidewalks</t>
  </si>
  <si>
    <t>Jim (1998) / Sinnett et al. (2008) Urban soil characteristics and limitations for landscape planting in Hong Kong.</t>
  </si>
  <si>
    <t>https://www.sciencedirect.com/science/article/pii/S0169204697001175?via%3Dihub</t>
  </si>
  <si>
    <t>Well-known authors for their exact measurements of urban soil compaction (in MPa and bulk density) and the impact on tree mortality</t>
  </si>
  <si>
    <t>Moraes, M. T. et al. (June 2026 / 2025 according to pre-publications) Soybean root elongation in relation to water and mechanical stresses in intact and disturbed structures of an Oxisol</t>
  </si>
  <si>
    <t>Soybean root elongation in relation to water and mechanical stresses in intact and disturbed structures of an Oxisol</t>
  </si>
  <si>
    <t>Formules</t>
  </si>
  <si>
    <t>Variables</t>
  </si>
  <si>
    <t xml:space="preserve"> θs = 1 - (ρb/ρs)</t>
  </si>
  <si>
    <t>θs : saturated water content (or total porosity)
ρb : bulk density
ρs : particle density of the solid phase</t>
  </si>
  <si>
    <t>Une methode de mesure de la densite apparente de petits agglomerats terreux. Application a l'analyse des systemes de porosite du sol</t>
  </si>
  <si>
    <t>(Ksc/Ks) =  ((nc)^3* (1-n)^2)/(n^3 * (1-nc)^2)</t>
  </si>
  <si>
    <t>Ksc : Saturated hydraulic conductivity of the compacted soil
Ks : Saturated hydraulic conductivity of the initial soil
nc : Porosity of the compacted soil
n : Porosity of the initial soil</t>
  </si>
  <si>
    <t>Modeling the Relationship between Soil Bulk Density and the Hydraulic Conductivity Function - Assouline - 2006 - Vadose Zone Journal - Wiley Online Library</t>
  </si>
  <si>
    <t>Profil</t>
  </si>
  <si>
    <t>Horizon</t>
  </si>
  <si>
    <t>Depth up
(cm)</t>
  </si>
  <si>
    <t>Depth down
(cm)</t>
  </si>
  <si>
    <t>bulk Density
(g/cm3)</t>
  </si>
  <si>
    <t>Hygroscopic water
(%)</t>
  </si>
  <si>
    <t>OC
(%)</t>
  </si>
  <si>
    <t>Nt
(%)</t>
  </si>
  <si>
    <t>C/N</t>
  </si>
  <si>
    <t>P
mg/kg</t>
  </si>
  <si>
    <t>CaCO3
(%)</t>
  </si>
  <si>
    <t>pH
H20</t>
  </si>
  <si>
    <t>pH
KCl</t>
  </si>
  <si>
    <t>A</t>
  </si>
  <si>
    <t>Ap</t>
  </si>
  <si>
    <t>A2</t>
  </si>
  <si>
    <t>Bv</t>
  </si>
  <si>
    <t>C</t>
  </si>
  <si>
    <t>WA</t>
  </si>
  <si>
    <t>W</t>
  </si>
  <si>
    <t>B</t>
  </si>
  <si>
    <t>&gt;60</t>
  </si>
  <si>
    <t>W1</t>
  </si>
  <si>
    <t>AC</t>
  </si>
  <si>
    <t>An</t>
  </si>
  <si>
    <t>C (inclusion)</t>
  </si>
  <si>
    <t>W2</t>
  </si>
  <si>
    <t>W3</t>
  </si>
  <si>
    <t>W4</t>
  </si>
  <si>
    <t>W5</t>
  </si>
  <si>
    <t>W6</t>
  </si>
  <si>
    <t>W7</t>
  </si>
  <si>
    <t>W8</t>
  </si>
  <si>
    <t>Type of artefacts</t>
  </si>
  <si>
    <t>% of skeleton</t>
  </si>
  <si>
    <t>Gravel</t>
  </si>
  <si>
    <t>Concrete and bricks</t>
  </si>
  <si>
    <t>Cinder</t>
  </si>
  <si>
    <t>Metals</t>
  </si>
  <si>
    <t>Ceramics</t>
  </si>
  <si>
    <t>Plastic</t>
  </si>
  <si>
    <t>Bones</t>
  </si>
  <si>
    <t>Glass</t>
  </si>
  <si>
    <t>Charcoals</t>
  </si>
  <si>
    <t>Type</t>
  </si>
  <si>
    <t>Silt (%)</t>
  </si>
  <si>
    <t>Toruń (Poland)</t>
  </si>
  <si>
    <t>cemetery</t>
  </si>
  <si>
    <t>[83; 98]</t>
  </si>
  <si>
    <t>[1; 8]</t>
  </si>
  <si>
    <t>[0; 4]</t>
  </si>
  <si>
    <t>Cluj-Napoca (Romania)</t>
  </si>
  <si>
    <t>downtown (5 cm of asphalt)</t>
  </si>
  <si>
    <t>pedestrian zone (sandstone slabs)</t>
  </si>
  <si>
    <t>former parking lot (14-centimeter-thick concrete slabs)</t>
  </si>
  <si>
    <t>former parking lot (5,5-centimeter-thick concrete slabs)</t>
  </si>
  <si>
    <t>Name of the source</t>
  </si>
  <si>
    <t>Link</t>
  </si>
  <si>
    <t>Number</t>
  </si>
  <si>
    <t>Colonne 1</t>
  </si>
  <si>
    <t>Ekranic Technosols and Urbic Technosols of Toruń Necropolis</t>
  </si>
  <si>
    <t>(PDF) Ekranic Technosols and Urbic Technosols of Toruń Necropolis</t>
  </si>
  <si>
    <t>morphology and properties of ekranic technosols in toruń and cluj-napoca</t>
  </si>
  <si>
    <t xml:space="preserve">No information about bulk density and water </t>
  </si>
  <si>
    <t>WRB Qualifier (Prefix)</t>
  </si>
  <si>
    <t>Diagnostic characteristic of the layer</t>
  </si>
  <si>
    <t>Morphological description</t>
  </si>
  <si>
    <t>Hydrological description</t>
  </si>
  <si>
    <t>Usage</t>
  </si>
  <si>
    <t>Ekranic (Sealed)</t>
  </si>
  <si>
    <t>They are covered by a hard "Technic" material starting at ≤ 5 cm from the soil surface. These are streets, squares, parking lots, and other similar urban infrastructures.</t>
  </si>
  <si>
    <t>A hard coating is on or very close to the surface.
Under this layer can be a natural soil or additional technical material, depending on the substrate present at the time the coating was laid.
- The technical material is generally flat or convex, as is the case for some coatings.
- As a general rule, the natural soil is leveled by scraping and smoothing before laying the hard coating, but the lower part of the original profiles can be preserved, with identifiable diagnostic horizons.</t>
  </si>
  <si>
    <t>The surface is waterproofed and the coatings are generally flat or convex. This causes rainwater or floodwater to stagnate or flow into urban drainage networks.
Examples of ekranic technosols: roads, pavements,...</t>
  </si>
  <si>
    <t>Streets and paved areas.
Generally bordered by gutters to prevent flooding, because water cannot infiltrate through these coatings.</t>
  </si>
  <si>
    <t>WRB Documentation Centre Technosols Lecture Notes</t>
  </si>
  <si>
    <t>v. 2 WRB Documentation Centre Technosols Lecture Notes 2024</t>
  </si>
  <si>
    <t>Thyric</t>
  </si>
  <si>
    <t>These soils are distinguished from ekranic soils by the depth at which the hard technical origin material layer begins from the soil surface: between &gt; 5 and ≤ 100 cm. This provides a layer of fine material thick enough to ensure many typical soil functions of non-technical soils.</t>
  </si>
  <si>
    <t>The hard technical material is at a shallow depth and is therefore not visible from the soil surface. This material generally has a sloping upper surface to allow gravity flow of water and prevent its stagnation.
Unlike soils with the "Isolatic" qualifier, soils with the "Thyric" qualifier have at least partial lateral contact with neighboring surface soils, which allows migration of soil fauna.</t>
  </si>
  <si>
    <t>Technosols generally have a sloping or convex upper surface, which allows rainwater to flow by gravity to surrounding areas.</t>
  </si>
  <si>
    <t>Contain a layer of hard material at a sufficient depth to allow vegetation, or in some cases trees, to grow above this material.
Can be used to develop small gardens, parks, recreation areas, shrub areas, or even forests, the limiting factors being the lack of deep drainage and shallow rooting depth. This last point limits the choice of tree species.</t>
  </si>
  <si>
    <t>Linic (Lined)</t>
  </si>
  <si>
    <t>These are soils with a continuous geomembrane, whose permeability varies from very low to zero, of any thickness, starting at a depth ≤ 100 cm from the soil surface. An example is soils covered with a landfill sealing membrane, which prevents water and gases from escaping the landfill.</t>
  </si>
  <si>
    <t>The main characteristic is the geomembrane. Generally, it is covered with household waste, urban waste, or sludge, and topped with a layer of finer materials that covers the site.
AI: Presence of a constructed impermeable geomembrane, commonly called a liner.</t>
  </si>
  <si>
    <t>Technosols do not allow any drainage through the geomembrane. Site drainage depends on the surface configuration of the landfill.</t>
  </si>
  <si>
    <t>Consist of a continuous geomembrane, whose permeability varies from very low to zero, and are generally used to cover landfills or settling ponds.
These soils can emit methane during their decomposition or weathering, a gas that can, in some cases, be captured for domestic purposes.</t>
  </si>
  <si>
    <t>Urbic (Urban)</t>
  </si>
  <si>
    <t>Presenting a layer with a thickness ≥ 20 cm, located within 100 cm of the soil surface, containing ≥ 20% (by volume, weighted average, relative to the whole soil) of artifacts, of which ≥ 35% (by volume, weighted average, relative to the whole soil) consists of rubble and waste from human settlements. A typical example is backfill consisting of construction materials or debris resulting from war damage.</t>
  </si>
  <si>
    <t>Urban materials or rubble generally form an irregular matrix composed of finer materials. This profile is often covered with a thin layer of transported materials.
AI: Strong presence of artifacts from human settlements, such as construction rubble, bricks, pottery, or glass.</t>
  </si>
  <si>
    <t>Technosols generally have large empty spaces, which allows water to infiltrate quickly into the soil.</t>
  </si>
  <si>
    <t>Often buried under materials brought from outside, leveled, then used for building construction or park development. This is a common phenomenon following war damage and subsequent land reclamation work.</t>
  </si>
  <si>
    <t>Spolic (Industrial)</t>
  </si>
  <si>
    <t>Presence of a layer with a thickness ≥ 20 cm, located within 100 cm of the soil surface, containing ≥ 20% (by volume, weighted average, relative to the whole soil) of artifacts, of which ≥ 35% (by volume, weighted average, relative to the whole soil) consists of industrial products. Examples include soils formed on mine tailings, dredging spoils, slag, and ash. These often exhibit very rapid pedogenesis.</t>
  </si>
  <si>
    <t>Urban materials or rubble generally form an irregular matrix composed of finer materials and large voids. This profile is often covered with a thin layer of transported materials.
"Spolic" from wastewater or industrial liquid waste presents a homogeneous matrix, generally arranged in sedimentary layers.
AI: Presence of industrial waste, such as slag, mine tailings, or combustion ash.</t>
  </si>
  <si>
    <t>For many: Technosols generally have large empty spaces, which allows water to infiltrate quickly into the soil.</t>
  </si>
  <si>
    <t>Garbic (Organic)</t>
  </si>
  <si>
    <t>Presence of a layer with a thickness ≥ 20 cm, located within 100 cm of the soil surface, containing ≥ 20% (by volume, weighted average, relative to the whole soil) of artifacts, of which ≥ 35% (by volume, relative to the whole soil) contains ≥ 20% organic carbon (for example, organic waste). Settling ponds of wastewater treatment plants are examples.</t>
  </si>
  <si>
    <t>The composition consists of mixed waste containing little earthy material, often covered with a thin layer of transported materials that forms a cover layer over the landfill.
AI: Significant presence of organic waste, typical of landfills.</t>
  </si>
  <si>
    <t>Isolatic</t>
  </si>
  <si>
    <t>(from Italian "isola", island): presence, above a hard technical material, of a geomembrane or a continuous layer of artificial elements starting at ≤ 100 cm from the soil surface, of a pedological material containing fine earth without any contact with other pedological materials containing fine earth. These are soils located on roofs or in pots.</t>
  </si>
  <si>
    <t>A mineral or organic substrate is located above a geomembrane or a rigid technical material and is not in lateral contact with the soils on the land surface, as is the case, for example, with soils on roofs.</t>
  </si>
  <si>
    <t>For some: Technosols generally have a sloping or convex upper surface, which allows rainwater to flow by gravity to surrounding areas.</t>
  </si>
  <si>
    <t>Gleyic</t>
  </si>
  <si>
    <t>(from the popular Russian term "gley", bluish wet clay): presenting a layer with a thickness ≥ 25 cm, starting at ≤ 75 cm from the mineral soil surface, which has gleyic properties throughout its extent and reducing conditions in some parts of each sub-layer. This qualifier can be used with almost all RSGs. Here it distinguishes technosols subjected to a long-term influence of groundwater.</t>
  </si>
  <si>
    <t>Stagnic</t>
  </si>
  <si>
    <t>Presenting a layer with a thickness ≥ 25 cm and starting at ≤ 75 cm from the mineral soil surface (...) which has stagnic properties, in which the area of reductimorphic characteristics added to that of oximorphic characteristics is ≥ 25% (weighted average, relative to the fine earth as well as to oximorphic characteristics of any size and any cementation class) of the total area of the layer, and presenting reducing conditions during a certain period of the year in some parts of the volume of the layer presenting reductimorphic characteristics. These soils are periodically wet but also experience periods when oxygen is available, which distinguishes stagnic soils from gleyic soils. This qualifier can be used with almost all RSGs. Here, it distinguishes technosols subjected to a seasonal influence of groundwater.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</si>
</sst>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
  </numFmts>
  <fonts count="19">
    <font>
      <sz val="11"/>
      <color theme="1"/>
      <name val="Calibri"/>
      <scheme val="minor"/>
    </font>
    <font>
      <b/>
      <sz val="11"/>
      <color rgb="FFFFFFFF"/>
      <name val="Montserrat"/>
    </font>
    <font>
      <sz val="11"/>
      <color theme="1"/>
      <name val="Roboto"/>
    </font>
    <font>
      <sz val="11"/>
      <color theme="1"/>
      <name val="Calibri"/>
    </font>
    <font>
      <sz val="11"/>
      <color theme="1"/>
      <name val="Calibri"/>
      <scheme val="minor"/>
    </font>
    <font>
      <sz val="11"/>
      <color rgb="FF434343"/>
      <name val="Roboto"/>
    </font>
    <font>
      <u/>
      <sz val="11"/>
      <color rgb="FF0563C1"/>
      <name val="Roboto"/>
    </font>
    <font>
      <sz val="11"/>
      <name val="Calibri"/>
    </font>
    <font>
      <sz val="10"/>
      <color rgb="FF181D16"/>
      <name val="Roboto"/>
    </font>
    <font>
      <u/>
      <sz val="11"/>
      <color rgb="FF0563C1"/>
      <name val="Calibri"/>
    </font>
    <font>
      <sz val="11"/>
      <color rgb="FF2A2A2A"/>
      <name val="Merriweather"/>
    </font>
    <font>
      <u/>
      <sz val="11"/>
      <color rgb="FF0000FF"/>
      <name val="Roboto"/>
    </font>
    <font>
      <b/>
      <sz val="10"/>
      <color rgb="FF1F1F1F"/>
      <name val="Roboto"/>
    </font>
    <font>
      <sz val="10"/>
      <color rgb="FF1F1F1F"/>
      <name val="Roboto"/>
    </font>
    <font>
      <sz val="10"/>
      <color theme="1"/>
      <name val="Roboto"/>
    </font>
    <font>
      <u/>
      <sz val="10"/>
      <color rgb="FF0000FF"/>
      <name val="Roboto"/>
    </font>
    <font>
      <vertAlign val="subscript"/>
      <sz val="11"/>
      <color theme="1"/>
      <name val="Calibri"/>
    </font>
    <font>
      <vertAlign val="superscript"/>
      <sz val="11"/>
      <color theme="1"/>
      <name val="Calibri"/>
    </font>
    <font>
      <u/>
      <sz val="11"/>
      <color theme="10"/>
      <name val="Calibri"/>
      <scheme val="minor"/>
    </font>
  </fonts>
  <fills count="11">
    <fill>
      <patternFill patternType="none"/>
    </fill>
    <fill>
      <patternFill patternType="gray125"/>
    </fill>
    <fill>
      <patternFill patternType="solid">
        <fgColor rgb="FF1A73E8"/>
        <bgColor rgb="FF1A73E8"/>
      </patternFill>
    </fill>
    <fill>
      <patternFill patternType="solid">
        <fgColor rgb="FFFFFFFF"/>
        <bgColor rgb="FFFFFFFF"/>
      </patternFill>
    </fill>
    <fill>
      <patternFill patternType="solid">
        <fgColor rgb="FFF6F8F9"/>
        <bgColor rgb="FFF6F8F9"/>
      </patternFill>
    </fill>
    <fill>
      <patternFill patternType="solid">
        <fgColor rgb="FF33A753"/>
        <bgColor rgb="FF33A753"/>
      </patternFill>
    </fill>
    <fill>
      <patternFill patternType="solid">
        <fgColor rgb="FFF0F7F3"/>
        <bgColor rgb="FFF0F7F3"/>
      </patternFill>
    </fill>
    <fill>
      <patternFill patternType="solid">
        <fgColor rgb="FF4BAE50"/>
        <bgColor rgb="FF4BAE50"/>
      </patternFill>
    </fill>
    <fill>
      <patternFill patternType="solid">
        <fgColor rgb="FF3A6939"/>
        <bgColor rgb="FF3A6939"/>
      </patternFill>
    </fill>
    <fill>
      <patternFill patternType="solid">
        <fgColor rgb="FFF7FAF0"/>
        <bgColor rgb="FFF7FAF0"/>
      </patternFill>
    </fill>
    <fill>
      <patternFill patternType="solid">
        <fgColor rgb="FFF4CCCC"/>
        <bgColor rgb="FFF4CCCC"/>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3E479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3E4791"/>
      </right>
      <top style="thin">
        <color rgb="FFFFFFFF"/>
      </top>
      <bottom style="thin">
        <color rgb="FFFFFFFF"/>
      </bottom>
      <diagonal/>
    </border>
    <border>
      <left style="thin">
        <color rgb="FF3E4791"/>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3E4791"/>
      </right>
      <top style="thin">
        <color rgb="FFF6F8F9"/>
      </top>
      <bottom style="thin">
        <color rgb="FFF6F8F9"/>
      </bottom>
      <diagonal/>
    </border>
    <border>
      <left style="thin">
        <color rgb="FF3E4791"/>
      </left>
      <right style="thin">
        <color rgb="FFF6F8F9"/>
      </right>
      <top style="thin">
        <color rgb="FFF6F8F9"/>
      </top>
      <bottom style="thin">
        <color rgb="FF3E4791"/>
      </bottom>
      <diagonal/>
    </border>
    <border>
      <left style="thin">
        <color rgb="FFF6F8F9"/>
      </left>
      <right style="thin">
        <color rgb="FFF6F8F9"/>
      </right>
      <top style="thin">
        <color rgb="FFF6F8F9"/>
      </top>
      <bottom style="thin">
        <color rgb="FF3E4791"/>
      </bottom>
      <diagonal/>
    </border>
    <border>
      <left style="thin">
        <color rgb="FFF6F8F9"/>
      </left>
      <right style="thin">
        <color rgb="FF3E4791"/>
      </right>
      <top style="thin">
        <color rgb="FFF6F8F9"/>
      </top>
      <bottom style="thin">
        <color rgb="FF3E479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18" fillId="0" borderId="0" applyNumberFormat="0" applyFill="0" applyBorder="0" applyAlignment="0" applyProtection="0"/>
  </cellStyleXfs>
  <cellXfs count="9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xf numFmtId="0" fontId="3" fillId="0" borderId="0" xfId="0" applyFont="1" applyAlignment="1">
      <alignment wrapText="1"/>
    </xf>
    <xf numFmtId="0" fontId="4" fillId="0" borderId="0" xfId="0" applyFont="1" applyAlignment="1">
      <alignment wrapText="1"/>
    </xf>
    <xf numFmtId="0" fontId="4" fillId="0" borderId="0" xfId="0" applyFont="1"/>
    <xf numFmtId="0" fontId="5" fillId="3" borderId="2" xfId="0" applyFont="1" applyFill="1" applyBorder="1" applyAlignment="1">
      <alignment vertical="center" wrapText="1"/>
    </xf>
    <xf numFmtId="0" fontId="5" fillId="3" borderId="3" xfId="0" applyFont="1" applyFill="1" applyBorder="1" applyAlignment="1">
      <alignment horizontal="right" vertical="center"/>
    </xf>
    <xf numFmtId="0" fontId="5" fillId="3" borderId="3" xfId="0" applyFont="1" applyFill="1" applyBorder="1" applyAlignment="1">
      <alignment horizontal="right" vertical="center" wrapText="1"/>
    </xf>
    <xf numFmtId="0" fontId="5" fillId="3" borderId="4" xfId="0" applyFont="1" applyFill="1" applyBorder="1" applyAlignment="1">
      <alignment horizontal="right" vertical="center" wrapText="1"/>
    </xf>
    <xf numFmtId="0" fontId="3" fillId="0" borderId="0" xfId="0" applyFont="1" applyAlignment="1">
      <alignment horizontal="right" wrapText="1"/>
    </xf>
    <xf numFmtId="0" fontId="5" fillId="4" borderId="5" xfId="0" applyFont="1" applyFill="1" applyBorder="1" applyAlignment="1">
      <alignment vertical="center" wrapText="1"/>
    </xf>
    <xf numFmtId="0" fontId="5" fillId="4" borderId="6" xfId="0" applyFont="1" applyFill="1" applyBorder="1" applyAlignment="1">
      <alignment horizontal="right" vertical="center"/>
    </xf>
    <xf numFmtId="0" fontId="5" fillId="4" borderId="6" xfId="0" applyFont="1" applyFill="1" applyBorder="1" applyAlignment="1">
      <alignment horizontal="right" vertical="center" wrapText="1"/>
    </xf>
    <xf numFmtId="0" fontId="5" fillId="4" borderId="7" xfId="0" applyFont="1" applyFill="1" applyBorder="1" applyAlignment="1">
      <alignment horizontal="right" vertical="center" wrapText="1"/>
    </xf>
    <xf numFmtId="164" fontId="5" fillId="3" borderId="3" xfId="0" applyNumberFormat="1" applyFont="1" applyFill="1" applyBorder="1" applyAlignment="1">
      <alignment horizontal="right" vertical="center"/>
    </xf>
    <xf numFmtId="0" fontId="5" fillId="4" borderId="8" xfId="0" applyFont="1" applyFill="1" applyBorder="1" applyAlignment="1">
      <alignment vertical="center" wrapText="1"/>
    </xf>
    <xf numFmtId="0" fontId="5" fillId="4" borderId="9" xfId="0" applyFont="1" applyFill="1" applyBorder="1" applyAlignment="1">
      <alignment horizontal="right" vertical="center"/>
    </xf>
    <xf numFmtId="0" fontId="5" fillId="4" borderId="9" xfId="0" applyFont="1" applyFill="1" applyBorder="1" applyAlignment="1">
      <alignment horizontal="right" vertical="center" wrapText="1"/>
    </xf>
    <xf numFmtId="0" fontId="5" fillId="4" borderId="10" xfId="0" applyFont="1" applyFill="1" applyBorder="1" applyAlignment="1">
      <alignment horizontal="right" vertical="center" wrapText="1"/>
    </xf>
    <xf numFmtId="0" fontId="1" fillId="5"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3" borderId="1" xfId="0" quotePrefix="1" applyFont="1" applyFill="1" applyBorder="1" applyAlignment="1">
      <alignment horizontal="center" vertical="center" wrapText="1"/>
    </xf>
    <xf numFmtId="0" fontId="1" fillId="7" borderId="1" xfId="0" applyFont="1" applyFill="1" applyBorder="1" applyAlignment="1">
      <alignment horizontal="center" vertical="center" wrapText="1"/>
    </xf>
    <xf numFmtId="0" fontId="4" fillId="0" borderId="0" xfId="0" applyFont="1" applyAlignment="1">
      <alignment horizontal="center" wrapText="1"/>
    </xf>
    <xf numFmtId="0" fontId="8" fillId="9" borderId="1" xfId="0" applyFont="1" applyFill="1" applyBorder="1" applyAlignment="1">
      <alignment vertical="center" wrapText="1"/>
    </xf>
    <xf numFmtId="0" fontId="8" fillId="3" borderId="1" xfId="0" applyFont="1" applyFill="1" applyBorder="1" applyAlignment="1">
      <alignment vertical="center" wrapText="1"/>
    </xf>
    <xf numFmtId="0" fontId="9" fillId="0" borderId="0" xfId="0" applyFont="1" applyAlignment="1">
      <alignment wrapText="1"/>
    </xf>
    <xf numFmtId="0" fontId="10" fillId="3" borderId="0" xfId="0" applyFont="1" applyFill="1" applyAlignment="1">
      <alignment horizontal="center" wrapText="1"/>
    </xf>
    <xf numFmtId="0" fontId="8" fillId="0" borderId="1" xfId="0" applyFont="1" applyBorder="1" applyAlignment="1">
      <alignment vertical="center" wrapText="1"/>
    </xf>
    <xf numFmtId="0" fontId="4" fillId="0" borderId="17" xfId="0" applyFont="1" applyBorder="1" applyAlignment="1">
      <alignment horizontal="left" vertical="center" wrapText="1"/>
    </xf>
    <xf numFmtId="0" fontId="4" fillId="0" borderId="12" xfId="0" applyFont="1" applyBorder="1" applyAlignment="1">
      <alignment horizontal="left" vertical="center" wrapText="1"/>
    </xf>
    <xf numFmtId="0" fontId="4" fillId="0" borderId="18" xfId="0" applyFont="1" applyBorder="1" applyAlignment="1">
      <alignment horizontal="left" vertical="center" wrapText="1"/>
    </xf>
    <xf numFmtId="0" fontId="4" fillId="0" borderId="19" xfId="0" applyFont="1" applyBorder="1" applyAlignment="1">
      <alignment vertical="center"/>
    </xf>
    <xf numFmtId="0" fontId="4" fillId="0" borderId="13" xfId="0" applyFont="1" applyBorder="1" applyAlignment="1">
      <alignment vertical="center"/>
    </xf>
    <xf numFmtId="0" fontId="4" fillId="0" borderId="20" xfId="0" applyFont="1" applyBorder="1" applyAlignment="1">
      <alignment vertical="center" wrapText="1"/>
    </xf>
    <xf numFmtId="0" fontId="4" fillId="0" borderId="16" xfId="0" applyFont="1" applyBorder="1" applyAlignment="1">
      <alignment vertical="center"/>
    </xf>
    <xf numFmtId="0" fontId="4" fillId="0" borderId="1" xfId="0" applyFont="1" applyBorder="1" applyAlignment="1">
      <alignment vertical="center"/>
    </xf>
    <xf numFmtId="0" fontId="4" fillId="0" borderId="14" xfId="0" applyFont="1" applyBorder="1" applyAlignment="1">
      <alignment vertical="center" wrapText="1"/>
    </xf>
    <xf numFmtId="0" fontId="4" fillId="10" borderId="16" xfId="0" applyFont="1" applyFill="1" applyBorder="1" applyAlignment="1">
      <alignment vertical="center"/>
    </xf>
    <xf numFmtId="0" fontId="4" fillId="10" borderId="1" xfId="0" applyFont="1" applyFill="1" applyBorder="1" applyAlignment="1">
      <alignment vertical="center"/>
    </xf>
    <xf numFmtId="0" fontId="4" fillId="10" borderId="14" xfId="0" applyFont="1" applyFill="1" applyBorder="1" applyAlignment="1">
      <alignment vertical="center" wrapText="1"/>
    </xf>
    <xf numFmtId="0" fontId="4" fillId="10" borderId="21" xfId="0" applyFont="1" applyFill="1" applyBorder="1" applyAlignment="1">
      <alignment vertical="center"/>
    </xf>
    <xf numFmtId="0" fontId="4" fillId="10" borderId="11" xfId="0" applyFont="1" applyFill="1" applyBorder="1" applyAlignment="1">
      <alignment vertical="center"/>
    </xf>
    <xf numFmtId="0" fontId="4" fillId="0" borderId="17" xfId="0" applyFont="1" applyBorder="1" applyAlignment="1">
      <alignment horizontal="left" vertical="center"/>
    </xf>
    <xf numFmtId="0" fontId="4" fillId="0" borderId="12" xfId="0" applyFont="1" applyBorder="1" applyAlignment="1">
      <alignment horizontal="left" vertical="center"/>
    </xf>
    <xf numFmtId="0" fontId="4" fillId="0" borderId="18" xfId="0" applyFont="1" applyBorder="1" applyAlignment="1">
      <alignment horizontal="left" vertical="center"/>
    </xf>
    <xf numFmtId="0" fontId="4" fillId="0" borderId="20" xfId="0" applyFont="1" applyBorder="1" applyAlignment="1">
      <alignment vertical="center"/>
    </xf>
    <xf numFmtId="0" fontId="4" fillId="0" borderId="14" xfId="0" applyFont="1" applyBorder="1" applyAlignment="1">
      <alignment vertical="center"/>
    </xf>
    <xf numFmtId="0" fontId="4" fillId="0" borderId="21" xfId="0" applyFont="1" applyBorder="1" applyAlignment="1">
      <alignment vertical="center"/>
    </xf>
    <xf numFmtId="0" fontId="4" fillId="0" borderId="11" xfId="0" applyFont="1" applyBorder="1" applyAlignment="1">
      <alignment vertical="center"/>
    </xf>
    <xf numFmtId="0" fontId="4" fillId="0" borderId="22" xfId="0" applyFont="1" applyBorder="1" applyAlignment="1">
      <alignment vertical="center"/>
    </xf>
    <xf numFmtId="0" fontId="4" fillId="0" borderId="0" xfId="0" applyFont="1" applyAlignment="1">
      <alignment horizontal="left" vertical="center"/>
    </xf>
    <xf numFmtId="49" fontId="4" fillId="0" borderId="0" xfId="0" applyNumberFormat="1" applyFont="1" applyAlignment="1">
      <alignment horizontal="left" vertical="center"/>
    </xf>
    <xf numFmtId="0" fontId="4" fillId="0" borderId="19" xfId="0" applyFont="1" applyBorder="1" applyAlignment="1">
      <alignment vertical="center" wrapText="1"/>
    </xf>
    <xf numFmtId="0" fontId="4" fillId="0" borderId="13" xfId="0" applyFont="1" applyBorder="1" applyAlignment="1">
      <alignment vertical="center" wrapText="1"/>
    </xf>
    <xf numFmtId="0" fontId="4" fillId="0" borderId="16" xfId="0" applyFont="1" applyBorder="1" applyAlignment="1">
      <alignment vertical="center" wrapText="1"/>
    </xf>
    <xf numFmtId="0" fontId="4" fillId="0" borderId="1" xfId="0" applyFont="1" applyBorder="1" applyAlignment="1">
      <alignment vertical="center" wrapText="1"/>
    </xf>
    <xf numFmtId="0" fontId="4" fillId="10" borderId="16" xfId="0" applyFont="1" applyFill="1" applyBorder="1" applyAlignment="1">
      <alignment vertical="center" wrapText="1"/>
    </xf>
    <xf numFmtId="0" fontId="4" fillId="10" borderId="1" xfId="0" applyFont="1" applyFill="1" applyBorder="1" applyAlignment="1">
      <alignment vertical="center" wrapText="1"/>
    </xf>
    <xf numFmtId="0" fontId="4" fillId="10" borderId="21" xfId="0" applyFont="1" applyFill="1" applyBorder="1" applyAlignment="1">
      <alignment vertical="center" wrapText="1"/>
    </xf>
    <xf numFmtId="0" fontId="4" fillId="10" borderId="11" xfId="0" applyFont="1" applyFill="1" applyBorder="1" applyAlignment="1">
      <alignment vertical="center" wrapText="1"/>
    </xf>
    <xf numFmtId="0" fontId="11" fillId="0" borderId="13" xfId="0" applyFont="1" applyBorder="1" applyAlignment="1">
      <alignment vertical="center" wrapText="1"/>
    </xf>
    <xf numFmtId="0" fontId="4" fillId="10" borderId="22" xfId="0" applyFont="1" applyFill="1" applyBorder="1" applyAlignment="1">
      <alignment vertical="center" wrapText="1"/>
    </xf>
    <xf numFmtId="0" fontId="12" fillId="9"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0" fillId="0" borderId="0" xfId="0" applyAlignment="1">
      <alignment wrapText="1"/>
    </xf>
    <xf numFmtId="0" fontId="18" fillId="0" borderId="0" xfId="1" applyAlignment="1">
      <alignment wrapText="1"/>
    </xf>
    <xf numFmtId="0" fontId="2" fillId="0" borderId="0" xfId="0" applyFont="1" applyAlignment="1">
      <alignment horizontal="left" vertical="center" wrapText="1"/>
    </xf>
    <xf numFmtId="0" fontId="2" fillId="0" borderId="0" xfId="0" applyFont="1" applyAlignment="1">
      <alignment horizontal="left" vertical="center"/>
    </xf>
    <xf numFmtId="0" fontId="6" fillId="9" borderId="1" xfId="0" applyFont="1" applyFill="1" applyBorder="1" applyAlignment="1">
      <alignment vertical="center" wrapText="1"/>
    </xf>
    <xf numFmtId="0" fontId="6" fillId="3" borderId="1" xfId="0" applyFont="1" applyFill="1" applyBorder="1" applyAlignment="1">
      <alignment vertical="center" wrapText="1"/>
    </xf>
    <xf numFmtId="0" fontId="2" fillId="3" borderId="1" xfId="0" applyFont="1" applyFill="1" applyBorder="1" applyAlignment="1">
      <alignment vertical="center" wrapText="1"/>
    </xf>
    <xf numFmtId="0" fontId="6" fillId="0" borderId="1" xfId="0" applyFont="1" applyBorder="1" applyAlignment="1">
      <alignment vertical="center" wrapText="1"/>
    </xf>
    <xf numFmtId="0" fontId="11" fillId="10" borderId="11" xfId="0" applyFont="1" applyFill="1" applyBorder="1" applyAlignment="1">
      <alignment vertical="center" wrapText="1"/>
    </xf>
    <xf numFmtId="0" fontId="2" fillId="3" borderId="11" xfId="0" applyFont="1" applyFill="1" applyBorder="1" applyAlignment="1">
      <alignment horizontal="center" vertical="center" wrapText="1"/>
    </xf>
    <xf numFmtId="0" fontId="7" fillId="6" borderId="12" xfId="0" applyFont="1" applyFill="1" applyBorder="1"/>
    <xf numFmtId="0" fontId="7" fillId="3" borderId="12" xfId="0" applyFont="1" applyFill="1" applyBorder="1"/>
    <xf numFmtId="0" fontId="7" fillId="3" borderId="13" xfId="0" applyFont="1" applyFill="1" applyBorder="1"/>
    <xf numFmtId="0" fontId="6" fillId="3" borderId="11"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1" fillId="7" borderId="14" xfId="0" applyFont="1" applyFill="1" applyBorder="1" applyAlignment="1">
      <alignment horizontal="center" vertical="center" wrapText="1"/>
    </xf>
    <xf numFmtId="0" fontId="7" fillId="8" borderId="15" xfId="0" applyFont="1" applyFill="1" applyBorder="1"/>
    <xf numFmtId="0" fontId="7" fillId="8" borderId="16" xfId="0" applyFont="1" applyFill="1" applyBorder="1"/>
    <xf numFmtId="0" fontId="14" fillId="9" borderId="11" xfId="0" applyFont="1" applyFill="1" applyBorder="1" applyAlignment="1">
      <alignment horizontal="center" vertical="center" wrapText="1"/>
    </xf>
    <xf numFmtId="0" fontId="7" fillId="9" borderId="12" xfId="0" applyFont="1" applyFill="1" applyBorder="1"/>
    <xf numFmtId="0" fontId="7" fillId="9" borderId="13" xfId="0" applyFont="1" applyFill="1" applyBorder="1"/>
    <xf numFmtId="0" fontId="15" fillId="9" borderId="11" xfId="0" applyFont="1" applyFill="1" applyBorder="1" applyAlignment="1">
      <alignment horizontal="center" vertical="center" wrapText="1"/>
    </xf>
  </cellXfs>
  <cellStyles count="2">
    <cellStyle name="Hyperlink" xfId="1" xr:uid="{00000000-000B-0000-0000-000008000000}"/>
    <cellStyle name="Normal" xfId="0" builtinId="0"/>
  </cellStyles>
  <dxfs count="24">
    <dxf>
      <font>
        <b val="0"/>
        <i val="0"/>
        <strike val="0"/>
        <condense val="0"/>
        <extend val="0"/>
        <outline val="0"/>
        <shadow val="0"/>
        <u val="none"/>
        <vertAlign val="baseline"/>
        <sz val="11"/>
        <color theme="1"/>
        <name val="Calibri"/>
        <scheme val="minor"/>
      </font>
      <fill>
        <patternFill patternType="solid">
          <fgColor rgb="FFF4CCCC"/>
          <bgColor rgb="FFF4CCCC"/>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35FC1"/>
        </left>
        <right style="thin">
          <color rgb="FF535FC1"/>
        </right>
        <top style="thin">
          <color rgb="FF535FC1"/>
        </top>
        <bottom style="thin">
          <color rgb="FF535FC1"/>
        </bottom>
      </border>
    </dxf>
    <dxf>
      <fill>
        <patternFill patternType="solid">
          <fgColor rgb="FFFFFFFF"/>
          <bgColor rgb="FFFFFFFF"/>
        </patternFill>
      </fill>
    </dxf>
    <dxf>
      <fill>
        <patternFill patternType="solid">
          <fgColor rgb="FFF7FAF0"/>
          <bgColor rgb="FFF7FAF0"/>
        </patternFill>
      </fill>
    </dxf>
    <dxf>
      <fill>
        <patternFill patternType="solid">
          <fgColor rgb="FF3A6939"/>
          <bgColor rgb="FF3A6939"/>
        </patternFill>
      </fill>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6">
    <tableStyle name="Parameters VG per soil type-style" pivot="0" count="4" xr9:uid="{00000000-0011-0000-FFFF-FFFF00000000}">
      <tableStyleElement type="wholeTable" size="0" dxfId="23"/>
      <tableStyleElement type="headerRow" dxfId="22"/>
      <tableStyleElement type="firstRowStripe" dxfId="21"/>
      <tableStyleElement type="secondRowStripe" dxfId="20"/>
    </tableStyle>
    <tableStyle name="Urban – potential sources-style" pivot="0" count="3" xr9:uid="{00000000-0011-0000-FFFF-FFFF01000000}">
      <tableStyleElement type="headerRow" dxfId="19"/>
      <tableStyleElement type="firstRowStripe" dxfId="18"/>
      <tableStyleElement type="secondRowStripe" dxfId="17"/>
    </tableStyle>
    <tableStyle name="Urban – data collected-style" pivot="0" count="4" xr9:uid="{00000000-0011-0000-FFFF-FFFF02000000}">
      <tableStyleElement type="wholeTable" size="0" dxfId="16"/>
      <tableStyleElement type="headerRow" dxfId="15"/>
      <tableStyleElement type="firstRowStripe" dxfId="14"/>
      <tableStyleElement type="secondRowStripe" dxfId="13"/>
    </tableStyle>
    <tableStyle name="Urban – artefacts compo-style" pivot="0" count="4" xr9:uid="{00000000-0011-0000-FFFF-FFFF03000000}">
      <tableStyleElement type="wholeTable" size="0" dxfId="12"/>
      <tableStyleElement type="headerRow" dxfId="11"/>
      <tableStyleElement type="firstRowStripe" dxfId="10"/>
      <tableStyleElement type="secondRowStripe" dxfId="9"/>
    </tableStyle>
    <tableStyle name="Urban - Profil desc-style" pivot="0" count="4" xr9:uid="{00000000-0011-0000-FFFF-FFFF04000000}">
      <tableStyleElement type="wholeTable" size="0" dxfId="8"/>
      <tableStyleElement type="headerRow" dxfId="7"/>
      <tableStyleElement type="firstRowStripe" dxfId="6"/>
      <tableStyleElement type="secondRowStripe" dxfId="5"/>
    </tableStyle>
    <tableStyle name="Urban - data sources-style" pivot="0" count="4" xr9:uid="{00000000-0011-0000-FFFF-FFFF05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409575</xdr:colOff>
      <xdr:row>13</xdr:row>
      <xdr:rowOff>142875</xdr:rowOff>
    </xdr:from>
    <xdr:ext cx="38100" cy="1714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5345968" y="3693887"/>
          <a:ext cx="65" cy="172227"/>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6</xdr:col>
      <xdr:colOff>200025</xdr:colOff>
      <xdr:row>0</xdr:row>
      <xdr:rowOff>47625</xdr:rowOff>
    </xdr:from>
    <xdr:to>
      <xdr:col>10</xdr:col>
      <xdr:colOff>923925</xdr:colOff>
      <xdr:row>11</xdr:row>
      <xdr:rowOff>228600</xdr:rowOff>
    </xdr:to>
    <xdr:pic>
      <xdr:nvPicPr>
        <xdr:cNvPr id="2" name="Picture 1">
          <a:extLst>
            <a:ext uri="{FF2B5EF4-FFF2-40B4-BE49-F238E27FC236}">
              <a16:creationId xmlns:a16="http://schemas.microsoft.com/office/drawing/2014/main" id="{C9FE87A6-21A5-CD56-F774-C5952803EED5}"/>
            </a:ext>
          </a:extLst>
        </xdr:cNvPr>
        <xdr:cNvPicPr>
          <a:picLocks noChangeAspect="1"/>
        </xdr:cNvPicPr>
      </xdr:nvPicPr>
      <xdr:blipFill>
        <a:blip xmlns:r="http://schemas.openxmlformats.org/officeDocument/2006/relationships" r:embed="rId1"/>
        <a:stretch>
          <a:fillRect/>
        </a:stretch>
      </xdr:blipFill>
      <xdr:spPr>
        <a:xfrm>
          <a:off x="4105275" y="47625"/>
          <a:ext cx="4572000" cy="40386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G_parameters_per_soil_type" displayName="VG_parameters_per_soil_type" ref="A1:I13">
  <tableColumns count="9">
    <tableColumn id="1" xr3:uid="{00000000-0010-0000-0000-000001000000}" name="Soil Type"/>
    <tableColumn id="2" xr3:uid="{00000000-0010-0000-0000-000002000000}" name="Sand (%)"/>
    <tableColumn id="3" xr3:uid="{00000000-0010-0000-0000-000003000000}" name="Clay (%)"/>
    <tableColumn id="4" xr3:uid="{00000000-0010-0000-0000-000004000000}" name="θs (cm³/cm³)"/>
    <tableColumn id="5" xr3:uid="{00000000-0010-0000-0000-000005000000}" name="θr (cm³/cm³)"/>
    <tableColumn id="6" xr3:uid="{00000000-0010-0000-0000-000006000000}" name="Ks (cm/jour)"/>
    <tableColumn id="7" xr3:uid="{00000000-0010-0000-0000-000007000000}" name="α (cm⁻¹)"/>
    <tableColumn id="8" xr3:uid="{00000000-0010-0000-0000-000008000000}" name="n"/>
    <tableColumn id="9" xr3:uid="{00000000-0010-0000-0000-000009000000}" name="Source"/>
  </tableColumns>
  <tableStyleInfo name="Parameters VG per soil typ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A15:D17" headerRowCount="0">
  <tableColumns count="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s>
  <tableStyleInfo name="Urban – potential sources-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hemical_properties" displayName="chemical_properties" ref="A1:O58">
  <autoFilter ref="A1:O58" xr:uid="{00000000-0009-0000-0100-000003000000}">
    <filterColumn colId="14">
      <filters>
        <filter val="1"/>
      </filters>
    </filterColumn>
  </autoFilter>
  <tableColumns count="15">
    <tableColumn id="1" xr3:uid="{00000000-0010-0000-0200-000001000000}" name="Profil"/>
    <tableColumn id="2" xr3:uid="{00000000-0010-0000-0200-000002000000}" name="Horizon"/>
    <tableColumn id="15" xr3:uid="{D72FF200-9807-4A5A-AF2B-7D381065C9B9}" name="Soil Type" dataDxfId="0"/>
    <tableColumn id="3" xr3:uid="{00000000-0010-0000-0200-000003000000}" name="Depth up_x000a_(cm)"/>
    <tableColumn id="4" xr3:uid="{00000000-0010-0000-0200-000004000000}" name="Depth down_x000a_(cm)"/>
    <tableColumn id="5" xr3:uid="{00000000-0010-0000-0200-000005000000}" name="bulk Density_x000a_(g/cm3)"/>
    <tableColumn id="6" xr3:uid="{00000000-0010-0000-0200-000006000000}" name="Hygroscopic water_x000a_(%)"/>
    <tableColumn id="7" xr3:uid="{00000000-0010-0000-0200-000007000000}" name="OC_x000a_(%)"/>
    <tableColumn id="8" xr3:uid="{00000000-0010-0000-0200-000008000000}" name="Nt_x000a_(%)"/>
    <tableColumn id="9" xr3:uid="{00000000-0010-0000-0200-000009000000}" name="C/N"/>
    <tableColumn id="10" xr3:uid="{00000000-0010-0000-0200-00000A000000}" name="P_x000a_mg/kg"/>
    <tableColumn id="11" xr3:uid="{00000000-0010-0000-0200-00000B000000}" name="CaCO3_x000a_(%)"/>
    <tableColumn id="12" xr3:uid="{00000000-0010-0000-0200-00000C000000}" name="pH_x000a_H20"/>
    <tableColumn id="13" xr3:uid="{00000000-0010-0000-0200-00000D000000}" name="pH_x000a_KCl"/>
    <tableColumn id="14" xr3:uid="{00000000-0010-0000-0200-00000E000000}" name="Source"/>
  </tableColumns>
  <tableStyleInfo name="Urban – data collected-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ypes_of_artefacts_in_skeleton" displayName="Types_of_artefacts_in_skeleton" ref="A1:D19">
  <tableColumns count="4">
    <tableColumn id="1" xr3:uid="{00000000-0010-0000-0300-000001000000}" name="Profil"/>
    <tableColumn id="2" xr3:uid="{00000000-0010-0000-0300-000002000000}" name="Horizon"/>
    <tableColumn id="3" xr3:uid="{00000000-0010-0000-0300-000003000000}" name="Type of artefacts"/>
    <tableColumn id="4" xr3:uid="{00000000-0010-0000-0300-000004000000}" name="% of skeleton"/>
  </tableColumns>
  <tableStyleInfo name="Urban – artefacts compo-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ypes_of_the_profils" displayName="Types_of_the_profils" ref="A1:F14">
  <tableColumns count="6">
    <tableColumn id="1" xr3:uid="{00000000-0010-0000-0400-000001000000}" name="Profil"/>
    <tableColumn id="2" xr3:uid="{00000000-0010-0000-0400-000002000000}" name="Location"/>
    <tableColumn id="3" xr3:uid="{00000000-0010-0000-0400-000003000000}" name="Type"/>
    <tableColumn id="4" xr3:uid="{00000000-0010-0000-0400-000004000000}" name="Sand (%)"/>
    <tableColumn id="5" xr3:uid="{00000000-0010-0000-0400-000005000000}" name="Silt (%)"/>
    <tableColumn id="6" xr3:uid="{00000000-0010-0000-0400-000006000000}" name="Clay (%)"/>
  </tableColumns>
  <tableStyleInfo name="Urban - Profil desc-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ources" displayName="Sources" ref="A1:D3">
  <tableColumns count="4">
    <tableColumn id="1" xr3:uid="{00000000-0010-0000-0500-000001000000}" name="Name of the source"/>
    <tableColumn id="2" xr3:uid="{00000000-0010-0000-0500-000002000000}" name="Link"/>
    <tableColumn id="3" xr3:uid="{00000000-0010-0000-0500-000003000000}" name="Number"/>
    <tableColumn id="4" xr3:uid="{00000000-0010-0000-0500-000004000000}" name="Colonne 1"/>
  </tableColumns>
  <tableStyleInfo name="Urban - data sourc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livettu.sharepoint.com/:b:/r/sites/Treerooturbandigitaltwins/Shared%20Documents/4.%20Modelling%20and%20software%20development/02-%20Research/Literature/Soil/Developing_Joint_Probability_Distributions_of_Soil_Water_Retention_Characteristics.PDF?csf=1&amp;web=1&amp;e=Ln7LeC"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ument.environnement.brussels/opac_css/elecfile/RAP_20180308_BRUSTRATI3D_RAPPORT_SGB_V1_0.pdf"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researchgate.net/publication/390128849_Effects_of_Soil_Structure_on_the_Growth_of_Rice_Roots" TargetMode="External"/><Relationship Id="rId13" Type="http://schemas.openxmlformats.org/officeDocument/2006/relationships/hyperlink" Target="https://acsess.onlinelibrary.wiley.com/doi/full/10.2136/vzj2005.0084" TargetMode="External"/><Relationship Id="rId3" Type="http://schemas.openxmlformats.org/officeDocument/2006/relationships/hyperlink" Target="https://academic.oup.com/jxb/article/62/1/59/515854" TargetMode="External"/><Relationship Id="rId7" Type="http://schemas.openxmlformats.org/officeDocument/2006/relationships/hyperlink" Target="https://www.mdpi.com/2223-7747/13/3/432" TargetMode="External"/><Relationship Id="rId12" Type="http://schemas.openxmlformats.org/officeDocument/2006/relationships/hyperlink" Target="https://hal.inrae.fr/hal-02732742/file/102686_20111129113535093_1.pdf" TargetMode="External"/><Relationship Id="rId2" Type="http://schemas.openxmlformats.org/officeDocument/2006/relationships/hyperlink" Target="https://artefacts-discovery.researcher.life/full_text_files/DA-2/df/df2bde5476ae3b72933bd6f71a5b5901/full_text/Qdi40Nf94X8IowlLO5tIF_PIV6wmIYV4PxU2g0Nt5WU%3D.pdf" TargetMode="External"/><Relationship Id="rId1" Type="http://schemas.openxmlformats.org/officeDocument/2006/relationships/hyperlink" Target="https://www.researchgate.net/publication/279595755_Effect_of_Urban_Soil_Compaction_on_Infiltration_Rate" TargetMode="External"/><Relationship Id="rId6" Type="http://schemas.openxmlformats.org/officeDocument/2006/relationships/hyperlink" Target="https://www.cambridge.org/core/journals/experimental-agriculture/article/modelling-sugarcane-root-elongation-in-response-to-mechanical-stress-as-an-indicator-of-soil-physical-quality/F4957BF54BEC7DDF200C3EA537EC8292" TargetMode="External"/><Relationship Id="rId11" Type="http://schemas.openxmlformats.org/officeDocument/2006/relationships/hyperlink" Target="https://www.frontiersin.org/journals/plant-science/articles/10.3389/fpls.2026.1805154/full" TargetMode="External"/><Relationship Id="rId5" Type="http://schemas.openxmlformats.org/officeDocument/2006/relationships/hyperlink" Target="https://www.researchgate.net/publication/348481141_Plant_roots_sense_soil_compaction_through_restricted_ethylene_diffusion" TargetMode="External"/><Relationship Id="rId10" Type="http://schemas.openxmlformats.org/officeDocument/2006/relationships/hyperlink" Target="https://www.sciencedirect.com/science/article/pii/S0169204697001175?via%3Dihub" TargetMode="External"/><Relationship Id="rId4" Type="http://schemas.openxmlformats.org/officeDocument/2006/relationships/hyperlink" Target="https://academic.oup.com/jxb/article/62/1/59/515854" TargetMode="External"/><Relationship Id="rId9" Type="http://schemas.openxmlformats.org/officeDocument/2006/relationships/hyperlink" Target="https://hal.inrae.fr/hal-04804531v1/document" TargetMode="External"/><Relationship Id="rId1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hyperlink" Target="https://www.researchgate.net/publication/259876183_MORPHOLOGY_AND_PROPERTIES_OF_EKRANIC_TECHNOSOLS_IN_TORUN_AND_CLUJ-NAPOCA" TargetMode="External"/><Relationship Id="rId1" Type="http://schemas.openxmlformats.org/officeDocument/2006/relationships/hyperlink" Target="https://www.researchgate.net/publication/259849491_Ekranic_Technosols_and_Urbic_Technosols_of_Torun_Necropoli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es.kuleuven.be/soil-monoliths/wrb-documentation-centre/wrb-reference-soil-groups/TECHNOSOLS-Lecture-not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pane ySplit="1" topLeftCell="A2" activePane="bottomLeft" state="frozen"/>
      <selection pane="bottomLeft" activeCell="D15" sqref="D15"/>
    </sheetView>
  </sheetViews>
  <sheetFormatPr baseColWidth="10" defaultColWidth="14.453125" defaultRowHeight="15" customHeight="1"/>
  <cols>
    <col min="1" max="1" width="32.1796875" customWidth="1"/>
    <col min="2" max="3" width="10.7265625" customWidth="1"/>
    <col min="4" max="4" width="50" customWidth="1"/>
    <col min="5" max="26" width="10.7265625" customWidth="1"/>
  </cols>
  <sheetData>
    <row r="1" spans="1:4" ht="16.5">
      <c r="A1" s="1" t="s">
        <v>0</v>
      </c>
      <c r="B1" s="1" t="s">
        <v>1</v>
      </c>
      <c r="C1" s="1" t="s">
        <v>2</v>
      </c>
      <c r="D1" s="1" t="s">
        <v>3</v>
      </c>
    </row>
    <row r="2" spans="1:4" ht="29">
      <c r="A2" s="2" t="s">
        <v>4</v>
      </c>
      <c r="B2" s="2" t="s">
        <v>5</v>
      </c>
      <c r="C2" s="2" t="s">
        <v>6</v>
      </c>
      <c r="D2" s="2" t="s">
        <v>7</v>
      </c>
    </row>
    <row r="3" spans="1:4" ht="29">
      <c r="A3" s="2" t="s">
        <v>8</v>
      </c>
      <c r="B3" s="2" t="s">
        <v>9</v>
      </c>
      <c r="C3" s="2" t="s">
        <v>6</v>
      </c>
      <c r="D3" s="2" t="s">
        <v>10</v>
      </c>
    </row>
    <row r="4" spans="1:4" ht="72.5">
      <c r="A4" s="2" t="s">
        <v>11</v>
      </c>
      <c r="B4" s="2" t="s">
        <v>12</v>
      </c>
      <c r="C4" s="2" t="s">
        <v>13</v>
      </c>
      <c r="D4" s="2" t="s">
        <v>14</v>
      </c>
    </row>
    <row r="5" spans="1:4" ht="87">
      <c r="A5" s="2" t="s">
        <v>15</v>
      </c>
      <c r="B5" s="2" t="s">
        <v>16</v>
      </c>
      <c r="C5" s="2"/>
      <c r="D5" s="2" t="s">
        <v>17</v>
      </c>
    </row>
    <row r="6" spans="1:4" ht="29">
      <c r="A6" s="2" t="s">
        <v>18</v>
      </c>
      <c r="B6" s="2" t="s">
        <v>19</v>
      </c>
      <c r="C6" s="2" t="s">
        <v>20</v>
      </c>
      <c r="D6" s="2" t="s">
        <v>21</v>
      </c>
    </row>
    <row r="7" spans="1:4" ht="14.25" customHeight="1"/>
    <row r="8" spans="1:4" ht="14.25" customHeight="1"/>
    <row r="9" spans="1:4" ht="14.25" customHeight="1"/>
    <row r="10" spans="1:4" ht="14.25" customHeight="1"/>
    <row r="11" spans="1:4" ht="14.25" customHeight="1"/>
    <row r="12" spans="1:4" ht="14.25" customHeight="1"/>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17"/>
  <sheetViews>
    <sheetView workbookViewId="0">
      <pane ySplit="1" topLeftCell="A2" activePane="bottomLeft" state="frozen"/>
      <selection pane="bottomLeft" activeCell="D20" sqref="D20"/>
    </sheetView>
  </sheetViews>
  <sheetFormatPr baseColWidth="10" defaultColWidth="14.453125" defaultRowHeight="15" customHeight="1"/>
  <cols>
    <col min="2" max="2" width="9.54296875" bestFit="1" customWidth="1"/>
    <col min="3" max="3" width="8.81640625" bestFit="1" customWidth="1"/>
    <col min="4" max="4" width="14" customWidth="1"/>
    <col min="5" max="5" width="13.54296875" bestFit="1" customWidth="1"/>
    <col min="6" max="6" width="13.1796875" bestFit="1" customWidth="1"/>
    <col min="7" max="7" width="9" bestFit="1" customWidth="1"/>
    <col min="8" max="8" width="5.7265625" bestFit="1" customWidth="1"/>
    <col min="9" max="9" width="7.81640625" bestFit="1" customWidth="1"/>
    <col min="11" max="11" width="24.26953125" customWidth="1"/>
    <col min="13" max="13" width="20.7265625" customWidth="1"/>
    <col min="15" max="15" width="110.453125" customWidth="1"/>
  </cols>
  <sheetData>
    <row r="1" spans="1:23" ht="14.5">
      <c r="A1" s="74" t="s">
        <v>22</v>
      </c>
      <c r="B1" s="75" t="s">
        <v>23</v>
      </c>
      <c r="C1" s="75" t="s">
        <v>24</v>
      </c>
      <c r="D1" s="74" t="s">
        <v>25</v>
      </c>
      <c r="E1" s="74" t="s">
        <v>26</v>
      </c>
      <c r="F1" s="74" t="s">
        <v>27</v>
      </c>
      <c r="G1" s="75" t="s">
        <v>28</v>
      </c>
      <c r="H1" s="75" t="s">
        <v>16</v>
      </c>
      <c r="I1" s="74" t="s">
        <v>29</v>
      </c>
      <c r="J1" s="3"/>
      <c r="K1" s="4" t="s">
        <v>30</v>
      </c>
      <c r="L1" s="4" t="s">
        <v>31</v>
      </c>
      <c r="M1" s="5" t="s">
        <v>32</v>
      </c>
      <c r="O1" s="6" t="s">
        <v>33</v>
      </c>
    </row>
    <row r="2" spans="1:23" ht="58">
      <c r="A2" s="7" t="s">
        <v>34</v>
      </c>
      <c r="B2" s="8">
        <v>14.9</v>
      </c>
      <c r="C2" s="8">
        <v>55.2</v>
      </c>
      <c r="D2" s="9">
        <v>0.38</v>
      </c>
      <c r="E2" s="9">
        <v>6.8000000000000005E-2</v>
      </c>
      <c r="F2" s="9">
        <f>0.2*24</f>
        <v>4.8000000000000007</v>
      </c>
      <c r="G2" s="8">
        <v>8.0000000000000002E-3</v>
      </c>
      <c r="H2" s="8">
        <v>1.0900000000000001</v>
      </c>
      <c r="I2" s="10">
        <v>1</v>
      </c>
      <c r="J2" s="3"/>
      <c r="K2" s="4" t="s">
        <v>35</v>
      </c>
      <c r="L2" s="11">
        <v>1</v>
      </c>
      <c r="M2" s="73" t="s">
        <v>36</v>
      </c>
      <c r="N2" s="72"/>
      <c r="O2" s="4" t="s">
        <v>37</v>
      </c>
      <c r="P2" s="3"/>
      <c r="Q2" s="3"/>
      <c r="R2" s="3"/>
      <c r="S2" s="3"/>
      <c r="T2" s="3"/>
      <c r="U2" s="3"/>
      <c r="V2" s="3"/>
      <c r="W2" s="3"/>
    </row>
    <row r="3" spans="1:23" ht="14.5">
      <c r="A3" s="12" t="s">
        <v>38</v>
      </c>
      <c r="B3" s="13">
        <v>29.8</v>
      </c>
      <c r="C3" s="13">
        <v>32.6</v>
      </c>
      <c r="D3" s="14">
        <v>0.41</v>
      </c>
      <c r="E3" s="14">
        <v>9.5000000000000001E-2</v>
      </c>
      <c r="F3" s="13">
        <f>0.26*24</f>
        <v>6.24</v>
      </c>
      <c r="G3" s="13">
        <v>1.9E-2</v>
      </c>
      <c r="H3" s="13">
        <v>1.31</v>
      </c>
      <c r="I3" s="15">
        <v>1</v>
      </c>
      <c r="J3" s="3"/>
      <c r="K3" s="4"/>
      <c r="L3" s="4"/>
      <c r="M3" s="72"/>
      <c r="N3" s="72"/>
      <c r="O3" s="4" t="s">
        <v>39</v>
      </c>
      <c r="P3" s="3"/>
      <c r="Q3" s="3"/>
      <c r="R3" s="3"/>
      <c r="S3" s="3"/>
      <c r="T3" s="3"/>
      <c r="U3" s="3"/>
      <c r="V3" s="3"/>
      <c r="W3" s="3"/>
    </row>
    <row r="4" spans="1:23" ht="14.5">
      <c r="A4" s="7" t="s">
        <v>40</v>
      </c>
      <c r="B4" s="8">
        <v>40</v>
      </c>
      <c r="C4" s="8">
        <v>19.7</v>
      </c>
      <c r="D4" s="9">
        <v>0.43</v>
      </c>
      <c r="E4" s="9">
        <v>7.8E-2</v>
      </c>
      <c r="F4" s="8">
        <f>1.04*24</f>
        <v>24.96</v>
      </c>
      <c r="G4" s="8">
        <v>3.5999999999999997E-2</v>
      </c>
      <c r="H4" s="8">
        <v>1.56</v>
      </c>
      <c r="I4" s="10">
        <v>1</v>
      </c>
      <c r="J4" s="3"/>
      <c r="K4" s="3"/>
      <c r="L4" s="3"/>
    </row>
    <row r="5" spans="1:23" ht="14.5">
      <c r="A5" s="12" t="s">
        <v>41</v>
      </c>
      <c r="B5" s="13">
        <v>80.900000000000006</v>
      </c>
      <c r="C5" s="13">
        <v>6.4</v>
      </c>
      <c r="D5" s="14">
        <v>0.41</v>
      </c>
      <c r="E5" s="14">
        <v>5.7000000000000002E-2</v>
      </c>
      <c r="F5" s="13">
        <f>14.59*24</f>
        <v>350.15999999999997</v>
      </c>
      <c r="G5" s="13">
        <v>0.124</v>
      </c>
      <c r="H5" s="13">
        <v>2.2799999999999998</v>
      </c>
      <c r="I5" s="15">
        <v>1</v>
      </c>
      <c r="J5" s="3"/>
      <c r="K5" s="3"/>
      <c r="L5" s="3"/>
    </row>
    <row r="6" spans="1:23" ht="14.5">
      <c r="A6" s="7" t="s">
        <v>42</v>
      </c>
      <c r="B6" s="16">
        <v>46239</v>
      </c>
      <c r="C6" s="16">
        <v>46151</v>
      </c>
      <c r="D6" s="9">
        <v>0.46</v>
      </c>
      <c r="E6" s="9">
        <v>3.4000000000000002E-2</v>
      </c>
      <c r="F6" s="8">
        <f>0.25*24</f>
        <v>6</v>
      </c>
      <c r="G6" s="8">
        <v>1.6E-2</v>
      </c>
      <c r="H6" s="8">
        <v>1.37</v>
      </c>
      <c r="I6" s="10">
        <v>1</v>
      </c>
      <c r="J6" s="3"/>
      <c r="K6" s="3"/>
      <c r="L6" s="3"/>
    </row>
    <row r="7" spans="1:23" ht="14.5">
      <c r="A7" s="12" t="s">
        <v>43</v>
      </c>
      <c r="B7" s="13">
        <v>16.600000000000001</v>
      </c>
      <c r="C7" s="13">
        <v>18.5</v>
      </c>
      <c r="D7" s="14">
        <v>0.45</v>
      </c>
      <c r="E7" s="14">
        <v>6.7000000000000004E-2</v>
      </c>
      <c r="F7" s="13">
        <f>0.45*24</f>
        <v>10.8</v>
      </c>
      <c r="G7" s="13">
        <v>0.02</v>
      </c>
      <c r="H7" s="13">
        <v>1.41</v>
      </c>
      <c r="I7" s="15">
        <v>1</v>
      </c>
      <c r="J7" s="3"/>
      <c r="K7" s="3"/>
      <c r="L7" s="3"/>
    </row>
    <row r="8" spans="1:23" ht="14.5">
      <c r="A8" s="7" t="s">
        <v>44</v>
      </c>
      <c r="B8" s="8">
        <v>6.1</v>
      </c>
      <c r="C8" s="8">
        <v>46.3</v>
      </c>
      <c r="D8" s="9">
        <v>0.36</v>
      </c>
      <c r="E8" s="9">
        <v>7.0000000000000007E-2</v>
      </c>
      <c r="F8" s="8">
        <f>0.02*24</f>
        <v>0.48</v>
      </c>
      <c r="G8" s="8">
        <v>5.0000000000000001E-3</v>
      </c>
      <c r="H8" s="8">
        <v>1.0900000000000001</v>
      </c>
      <c r="I8" s="10">
        <v>1</v>
      </c>
      <c r="J8" s="3"/>
      <c r="K8" s="3"/>
      <c r="L8" s="3"/>
    </row>
    <row r="9" spans="1:23" ht="14.5">
      <c r="A9" s="12" t="s">
        <v>45</v>
      </c>
      <c r="B9" s="13">
        <v>7.6</v>
      </c>
      <c r="C9" s="13">
        <v>33.200000000000003</v>
      </c>
      <c r="D9" s="14">
        <v>0.43</v>
      </c>
      <c r="E9" s="14">
        <v>8.8999999999999996E-2</v>
      </c>
      <c r="F9" s="13">
        <f>0.07*24</f>
        <v>1.6800000000000002</v>
      </c>
      <c r="G9" s="13">
        <v>0.01</v>
      </c>
      <c r="H9" s="13">
        <v>1.23</v>
      </c>
      <c r="I9" s="15">
        <v>1</v>
      </c>
      <c r="J9" s="3"/>
      <c r="K9" s="3"/>
      <c r="L9" s="3"/>
    </row>
    <row r="10" spans="1:23" ht="14.5">
      <c r="A10" s="7" t="s">
        <v>46</v>
      </c>
      <c r="B10" s="8">
        <v>92.7</v>
      </c>
      <c r="C10" s="8">
        <v>2.9</v>
      </c>
      <c r="D10" s="9">
        <v>0.43</v>
      </c>
      <c r="E10" s="9">
        <v>4.4999999999999998E-2</v>
      </c>
      <c r="F10" s="8">
        <f>29.7*24</f>
        <v>712.8</v>
      </c>
      <c r="G10" s="8">
        <v>0.14499999999999999</v>
      </c>
      <c r="H10" s="8">
        <v>2.68</v>
      </c>
      <c r="I10" s="10">
        <v>1</v>
      </c>
      <c r="J10" s="3"/>
      <c r="K10" s="3"/>
      <c r="L10" s="3"/>
    </row>
    <row r="11" spans="1:23" ht="14.5">
      <c r="A11" s="12" t="s">
        <v>47</v>
      </c>
      <c r="B11" s="13">
        <v>47.5</v>
      </c>
      <c r="C11" s="13">
        <v>41</v>
      </c>
      <c r="D11" s="14">
        <v>0.38</v>
      </c>
      <c r="E11" s="14">
        <v>0.1</v>
      </c>
      <c r="F11" s="13">
        <f>0.12*24</f>
        <v>2.88</v>
      </c>
      <c r="G11" s="13">
        <v>2.7E-2</v>
      </c>
      <c r="H11" s="13">
        <v>1.23</v>
      </c>
      <c r="I11" s="15">
        <v>1</v>
      </c>
      <c r="J11" s="3"/>
      <c r="K11" s="3"/>
      <c r="L11" s="3"/>
    </row>
    <row r="12" spans="1:23" ht="29">
      <c r="A12" s="7" t="s">
        <v>48</v>
      </c>
      <c r="B12" s="8">
        <v>54.3</v>
      </c>
      <c r="C12" s="8">
        <v>27.4</v>
      </c>
      <c r="D12" s="9">
        <v>0.39</v>
      </c>
      <c r="E12" s="9">
        <v>0.1</v>
      </c>
      <c r="F12" s="8">
        <f>1.31*24</f>
        <v>31.44</v>
      </c>
      <c r="G12" s="8">
        <v>5.8999999999999997E-2</v>
      </c>
      <c r="H12" s="8">
        <v>1.48</v>
      </c>
      <c r="I12" s="10">
        <v>1</v>
      </c>
      <c r="J12" s="3"/>
      <c r="K12" s="3"/>
      <c r="L12" s="3"/>
    </row>
    <row r="13" spans="1:23" ht="14.5">
      <c r="A13" s="17" t="s">
        <v>49</v>
      </c>
      <c r="B13" s="18">
        <v>63.4</v>
      </c>
      <c r="C13" s="18">
        <v>11.8</v>
      </c>
      <c r="D13" s="19">
        <v>0.41</v>
      </c>
      <c r="E13" s="19">
        <v>6.5000000000000002E-2</v>
      </c>
      <c r="F13" s="18">
        <f>4.42*24</f>
        <v>106.08</v>
      </c>
      <c r="G13" s="18">
        <v>7.4999999999999997E-2</v>
      </c>
      <c r="H13" s="18">
        <v>1.89</v>
      </c>
      <c r="I13" s="20">
        <v>1</v>
      </c>
      <c r="J13" s="3"/>
      <c r="K13" s="3"/>
      <c r="L13" s="3"/>
    </row>
    <row r="14" spans="1:23" ht="14.5">
      <c r="A14" s="3"/>
      <c r="B14" s="3"/>
      <c r="C14" s="3"/>
      <c r="D14" s="3"/>
      <c r="E14" s="3"/>
      <c r="F14" s="3"/>
      <c r="G14" s="3"/>
      <c r="H14" s="3"/>
      <c r="I14" s="3"/>
      <c r="J14" s="3"/>
      <c r="K14" s="3"/>
      <c r="L14" s="3"/>
    </row>
    <row r="15" spans="1:23" ht="14.5">
      <c r="J15" s="3"/>
      <c r="K15" s="3"/>
      <c r="L15" s="3"/>
    </row>
    <row r="16" spans="1:23" ht="14.5">
      <c r="J16" s="3"/>
      <c r="K16" s="3"/>
      <c r="L16" s="3"/>
    </row>
    <row r="17" spans="1:12" ht="14.5">
      <c r="A17" s="3"/>
      <c r="B17" s="3"/>
      <c r="C17" s="3"/>
      <c r="D17" s="3"/>
      <c r="E17" s="3"/>
      <c r="F17" s="3"/>
      <c r="G17" s="3"/>
      <c r="H17" s="3"/>
      <c r="I17" s="3"/>
      <c r="J17" s="3"/>
      <c r="K17" s="3"/>
      <c r="L17" s="3"/>
    </row>
  </sheetData>
  <hyperlinks>
    <hyperlink ref="M2" r:id="rId1" xr:uid="{D186C9A6-2448-4818-AC84-9A878CF8ED67}"/>
  </hyperlinks>
  <pageMargins left="0" right="0" top="0" bottom="0" header="0" footer="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pane ySplit="1" topLeftCell="A2" activePane="bottomLeft" state="frozen"/>
      <selection pane="bottomLeft" activeCell="H2" sqref="H2:H10"/>
    </sheetView>
  </sheetViews>
  <sheetFormatPr baseColWidth="10" defaultColWidth="14.453125" defaultRowHeight="15" customHeight="1"/>
  <cols>
    <col min="1" max="1" width="16.26953125" customWidth="1"/>
    <col min="2" max="2" width="29" customWidth="1"/>
    <col min="3" max="3" width="13.26953125" customWidth="1"/>
    <col min="4" max="4" width="28.7265625" customWidth="1"/>
    <col min="5" max="5" width="18.7265625" customWidth="1"/>
    <col min="6" max="6" width="10" customWidth="1"/>
    <col min="7" max="8" width="35.81640625" customWidth="1"/>
    <col min="9" max="26" width="10.7265625" customWidth="1"/>
  </cols>
  <sheetData>
    <row r="1" spans="1:8" ht="33">
      <c r="A1" s="21" t="s">
        <v>50</v>
      </c>
      <c r="B1" s="21" t="s">
        <v>51</v>
      </c>
      <c r="C1" s="21" t="s">
        <v>52</v>
      </c>
      <c r="D1" s="21" t="s">
        <v>53</v>
      </c>
      <c r="E1" s="21" t="s">
        <v>54</v>
      </c>
      <c r="F1" s="21" t="s">
        <v>55</v>
      </c>
      <c r="G1" s="21" t="s">
        <v>56</v>
      </c>
      <c r="H1" s="21" t="s">
        <v>29</v>
      </c>
    </row>
    <row r="2" spans="1:8" ht="14.5">
      <c r="A2" s="81" t="s">
        <v>57</v>
      </c>
      <c r="B2" s="22" t="s">
        <v>58</v>
      </c>
      <c r="C2" s="22"/>
      <c r="D2" s="22"/>
      <c r="E2" s="22"/>
      <c r="F2" s="22"/>
      <c r="G2" s="22" t="s">
        <v>59</v>
      </c>
      <c r="H2" s="85" t="s">
        <v>60</v>
      </c>
    </row>
    <row r="3" spans="1:8" ht="43.5">
      <c r="A3" s="82"/>
      <c r="B3" s="23" t="s">
        <v>61</v>
      </c>
      <c r="C3" s="23"/>
      <c r="D3" s="23" t="s">
        <v>62</v>
      </c>
      <c r="E3" s="23">
        <v>20</v>
      </c>
      <c r="F3" s="23" t="s">
        <v>63</v>
      </c>
      <c r="G3" s="23"/>
      <c r="H3" s="82"/>
    </row>
    <row r="4" spans="1:8" ht="29">
      <c r="A4" s="83"/>
      <c r="B4" s="22" t="s">
        <v>64</v>
      </c>
      <c r="C4" s="22"/>
      <c r="D4" s="22" t="s">
        <v>65</v>
      </c>
      <c r="E4" s="22">
        <v>4</v>
      </c>
      <c r="F4" s="22" t="s">
        <v>66</v>
      </c>
      <c r="G4" s="22"/>
      <c r="H4" s="83"/>
    </row>
    <row r="5" spans="1:8" ht="14.5">
      <c r="A5" s="82"/>
      <c r="B5" s="23" t="s">
        <v>67</v>
      </c>
      <c r="C5" s="23"/>
      <c r="D5" s="23" t="s">
        <v>68</v>
      </c>
      <c r="E5" s="23">
        <v>35</v>
      </c>
      <c r="F5" s="23" t="s">
        <v>69</v>
      </c>
      <c r="G5" s="23" t="s">
        <v>70</v>
      </c>
      <c r="H5" s="82"/>
    </row>
    <row r="6" spans="1:8" ht="29">
      <c r="A6" s="83"/>
      <c r="B6" s="22" t="s">
        <v>71</v>
      </c>
      <c r="C6" s="22"/>
      <c r="D6" s="22" t="s">
        <v>34</v>
      </c>
      <c r="E6" s="22">
        <v>30</v>
      </c>
      <c r="F6" s="22" t="s">
        <v>72</v>
      </c>
      <c r="G6" s="24" t="s">
        <v>73</v>
      </c>
      <c r="H6" s="83"/>
    </row>
    <row r="7" spans="1:8" ht="14.5">
      <c r="A7" s="82"/>
      <c r="B7" s="86" t="s">
        <v>74</v>
      </c>
      <c r="C7" s="23" t="s">
        <v>75</v>
      </c>
      <c r="D7" s="23" t="s">
        <v>76</v>
      </c>
      <c r="E7" s="23">
        <v>8</v>
      </c>
      <c r="F7" s="23" t="s">
        <v>77</v>
      </c>
      <c r="G7" s="23"/>
      <c r="H7" s="82"/>
    </row>
    <row r="8" spans="1:8" ht="14.5">
      <c r="A8" s="83"/>
      <c r="B8" s="84"/>
      <c r="C8" s="22" t="s">
        <v>78</v>
      </c>
      <c r="D8" s="22" t="s">
        <v>79</v>
      </c>
      <c r="E8" s="22">
        <v>20</v>
      </c>
      <c r="F8" s="22" t="s">
        <v>80</v>
      </c>
      <c r="G8" s="22"/>
      <c r="H8" s="83"/>
    </row>
    <row r="9" spans="1:8" ht="29">
      <c r="A9" s="82"/>
      <c r="B9" s="23" t="s">
        <v>81</v>
      </c>
      <c r="C9" s="23"/>
      <c r="D9" s="23" t="s">
        <v>82</v>
      </c>
      <c r="E9" s="23">
        <v>20</v>
      </c>
      <c r="F9" s="23" t="s">
        <v>83</v>
      </c>
      <c r="G9" s="23"/>
      <c r="H9" s="82"/>
    </row>
    <row r="10" spans="1:8" ht="29">
      <c r="A10" s="84"/>
      <c r="B10" s="22" t="s">
        <v>84</v>
      </c>
      <c r="C10" s="22"/>
      <c r="D10" s="22" t="s">
        <v>85</v>
      </c>
      <c r="E10" s="22" t="s">
        <v>86</v>
      </c>
      <c r="F10" s="22"/>
      <c r="G10" s="22"/>
      <c r="H10" s="84"/>
    </row>
    <row r="11" spans="1:8" ht="14.25" customHeight="1"/>
    <row r="12" spans="1:8" ht="14.25" customHeight="1"/>
    <row r="13" spans="1:8" ht="14.25" customHeight="1"/>
    <row r="14" spans="1:8" ht="14.25" customHeight="1"/>
    <row r="15" spans="1:8" ht="14.25" customHeight="1"/>
    <row r="16" spans="1: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2:A10"/>
    <mergeCell ref="H2:H10"/>
    <mergeCell ref="B7:B8"/>
  </mergeCells>
  <hyperlinks>
    <hyperlink ref="H2" r:id="rId1" xr:uid="{00000000-0004-0000-0200-000000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1001"/>
  <sheetViews>
    <sheetView workbookViewId="0">
      <pane ySplit="1" topLeftCell="A2" activePane="bottomLeft" state="frozen"/>
      <selection pane="bottomLeft" activeCell="D17" activeCellId="10" sqref="B2 B3 B4 B5 B6 B7 B8 B9 B10 B13 D17"/>
    </sheetView>
  </sheetViews>
  <sheetFormatPr baseColWidth="10" defaultColWidth="14.453125" defaultRowHeight="15" customHeight="1"/>
  <cols>
    <col min="1" max="1" width="36.26953125" style="5" customWidth="1"/>
    <col min="2" max="2" width="36.26953125" customWidth="1"/>
    <col min="3" max="3" width="43.453125" customWidth="1"/>
    <col min="4" max="4" width="17.7265625" customWidth="1"/>
    <col min="5" max="5" width="34.81640625" customWidth="1"/>
    <col min="6" max="6" width="34.54296875" customWidth="1"/>
    <col min="7" max="7" width="35.54296875" customWidth="1"/>
    <col min="8" max="8" width="34.54296875" customWidth="1"/>
    <col min="9" max="10" width="10.7265625" style="5" customWidth="1"/>
    <col min="11" max="11" width="27.1796875" style="5" customWidth="1"/>
    <col min="12" max="12" width="48.453125" style="5" customWidth="1"/>
    <col min="13" max="13" width="10.7265625" customWidth="1"/>
    <col min="14" max="14" width="25.453125" customWidth="1"/>
    <col min="15" max="15" width="47" style="5" customWidth="1"/>
    <col min="16" max="16" width="26.81640625" customWidth="1"/>
    <col min="17" max="17" width="61.7265625" style="5" customWidth="1"/>
    <col min="18" max="18" width="43.1796875" style="5" customWidth="1"/>
    <col min="19" max="33" width="10.7265625" style="5" customWidth="1"/>
  </cols>
  <sheetData>
    <row r="1" spans="1:16" ht="49.5">
      <c r="A1" s="25" t="s">
        <v>30</v>
      </c>
      <c r="B1" s="25" t="s">
        <v>87</v>
      </c>
      <c r="C1" s="25" t="s">
        <v>88</v>
      </c>
      <c r="D1" s="25" t="s">
        <v>89</v>
      </c>
      <c r="E1" s="87" t="s">
        <v>33</v>
      </c>
      <c r="F1" s="88"/>
      <c r="G1" s="88"/>
      <c r="H1" s="89"/>
      <c r="M1" s="26"/>
      <c r="N1" s="5"/>
      <c r="P1" s="5"/>
    </row>
    <row r="2" spans="1:16" ht="52.5" customHeight="1">
      <c r="A2" s="27" t="s">
        <v>90</v>
      </c>
      <c r="B2" s="76" t="s">
        <v>90</v>
      </c>
      <c r="C2" s="27"/>
      <c r="D2" s="27" t="s">
        <v>91</v>
      </c>
      <c r="E2" s="27" t="s">
        <v>92</v>
      </c>
      <c r="F2" s="27" t="s">
        <v>93</v>
      </c>
      <c r="G2" s="27" t="s">
        <v>94</v>
      </c>
      <c r="H2" s="27"/>
      <c r="M2" s="5"/>
      <c r="N2" s="5"/>
      <c r="P2" s="5"/>
    </row>
    <row r="3" spans="1:16" ht="43.5">
      <c r="A3" s="28" t="s">
        <v>95</v>
      </c>
      <c r="B3" s="77" t="s">
        <v>95</v>
      </c>
      <c r="C3" s="28"/>
      <c r="D3" s="28"/>
      <c r="E3" s="28"/>
      <c r="F3" s="28"/>
      <c r="G3" s="28"/>
      <c r="H3" s="28"/>
      <c r="M3" s="5"/>
      <c r="N3" s="29"/>
      <c r="P3" s="5"/>
    </row>
    <row r="4" spans="1:16" ht="72.5">
      <c r="A4" s="27" t="s">
        <v>96</v>
      </c>
      <c r="B4" s="76" t="s">
        <v>97</v>
      </c>
      <c r="C4" s="27"/>
      <c r="D4" s="27"/>
      <c r="E4" s="27"/>
      <c r="F4" s="27"/>
      <c r="G4" s="27"/>
      <c r="H4" s="27"/>
      <c r="M4" s="5"/>
      <c r="N4" s="5"/>
      <c r="P4" s="30"/>
    </row>
    <row r="5" spans="1:16" ht="115.5" customHeight="1">
      <c r="A5" s="28" t="s">
        <v>98</v>
      </c>
      <c r="B5" s="77" t="s">
        <v>97</v>
      </c>
      <c r="C5" s="28" t="s">
        <v>99</v>
      </c>
      <c r="D5" s="28" t="s">
        <v>91</v>
      </c>
      <c r="E5" s="28" t="s">
        <v>100</v>
      </c>
      <c r="F5" s="28" t="s">
        <v>101</v>
      </c>
      <c r="G5" s="28" t="s">
        <v>102</v>
      </c>
      <c r="H5" s="28" t="s">
        <v>103</v>
      </c>
      <c r="M5" s="5"/>
      <c r="N5" s="5"/>
      <c r="P5" s="5"/>
    </row>
    <row r="6" spans="1:16" ht="43.5">
      <c r="A6" s="27" t="s">
        <v>104</v>
      </c>
      <c r="B6" s="76" t="s">
        <v>105</v>
      </c>
      <c r="C6" s="27" t="s">
        <v>106</v>
      </c>
      <c r="D6" s="27" t="s">
        <v>107</v>
      </c>
      <c r="E6" s="27"/>
      <c r="F6" s="27"/>
      <c r="G6" s="27"/>
      <c r="H6" s="27"/>
      <c r="M6" s="5"/>
      <c r="N6" s="5"/>
      <c r="P6" s="5"/>
    </row>
    <row r="7" spans="1:16" ht="72.5">
      <c r="A7" s="28" t="s">
        <v>108</v>
      </c>
      <c r="B7" s="77" t="s">
        <v>109</v>
      </c>
      <c r="C7" s="28" t="s">
        <v>110</v>
      </c>
      <c r="D7" s="28" t="s">
        <v>107</v>
      </c>
      <c r="E7" s="28"/>
      <c r="F7" s="28"/>
      <c r="G7" s="28"/>
      <c r="H7" s="28"/>
      <c r="M7" s="5"/>
      <c r="N7" s="5"/>
      <c r="P7" s="5"/>
    </row>
    <row r="8" spans="1:16" ht="39">
      <c r="A8" s="27" t="s">
        <v>111</v>
      </c>
      <c r="B8" s="76" t="s">
        <v>112</v>
      </c>
      <c r="C8" s="27"/>
      <c r="D8" s="27" t="s">
        <v>107</v>
      </c>
      <c r="E8" s="27"/>
      <c r="F8" s="27"/>
      <c r="G8" s="27"/>
      <c r="H8" s="27"/>
      <c r="M8" s="5"/>
      <c r="N8" s="5"/>
      <c r="P8" s="5"/>
    </row>
    <row r="9" spans="1:16" ht="39">
      <c r="A9" s="28" t="s">
        <v>113</v>
      </c>
      <c r="B9" s="77" t="s">
        <v>114</v>
      </c>
      <c r="C9" s="28" t="s">
        <v>115</v>
      </c>
      <c r="D9" s="28" t="s">
        <v>107</v>
      </c>
      <c r="E9" s="28"/>
      <c r="F9" s="28"/>
      <c r="G9" s="28"/>
      <c r="H9" s="28"/>
      <c r="M9" s="5"/>
      <c r="N9" s="5"/>
      <c r="P9" s="5"/>
    </row>
    <row r="10" spans="1:16" ht="58">
      <c r="A10" s="27" t="s">
        <v>116</v>
      </c>
      <c r="B10" s="76" t="s">
        <v>117</v>
      </c>
      <c r="C10" s="27" t="s">
        <v>118</v>
      </c>
      <c r="D10" s="27" t="s">
        <v>91</v>
      </c>
      <c r="E10" s="27" t="s">
        <v>119</v>
      </c>
      <c r="F10" s="27"/>
      <c r="G10" s="27"/>
      <c r="H10" s="27"/>
      <c r="M10" s="5"/>
      <c r="N10" s="5"/>
      <c r="P10" s="5"/>
    </row>
    <row r="11" spans="1:16" ht="39">
      <c r="A11" s="28" t="s">
        <v>120</v>
      </c>
      <c r="B11" s="78" t="s">
        <v>121</v>
      </c>
      <c r="C11" s="28" t="s">
        <v>122</v>
      </c>
      <c r="D11" s="28" t="s">
        <v>107</v>
      </c>
      <c r="E11" s="28"/>
      <c r="F11" s="28"/>
      <c r="G11" s="28"/>
      <c r="H11" s="28"/>
      <c r="M11" s="5"/>
      <c r="N11" s="5"/>
      <c r="P11" s="5"/>
    </row>
    <row r="12" spans="1:16" ht="52">
      <c r="A12" s="27" t="s">
        <v>123</v>
      </c>
      <c r="B12" s="76" t="s">
        <v>124</v>
      </c>
      <c r="C12" s="27" t="s">
        <v>125</v>
      </c>
      <c r="D12" s="27" t="s">
        <v>107</v>
      </c>
      <c r="E12" s="27" t="s">
        <v>119</v>
      </c>
      <c r="F12" s="27"/>
      <c r="G12" s="27"/>
      <c r="H12" s="27"/>
      <c r="M12" s="5"/>
      <c r="N12" s="5"/>
      <c r="P12" s="5"/>
    </row>
    <row r="13" spans="1:16" ht="65">
      <c r="A13" s="28" t="s">
        <v>126</v>
      </c>
      <c r="B13" s="77" t="s">
        <v>127</v>
      </c>
      <c r="C13" s="28"/>
      <c r="D13" s="28" t="s">
        <v>107</v>
      </c>
      <c r="E13" s="28"/>
      <c r="F13" s="28"/>
      <c r="G13" s="28"/>
      <c r="H13" s="28"/>
      <c r="M13" s="5"/>
      <c r="N13" s="5"/>
      <c r="P13" s="5"/>
    </row>
    <row r="14" spans="1:16" ht="14.5">
      <c r="F14" s="5"/>
      <c r="G14" s="5"/>
      <c r="H14" s="5"/>
      <c r="M14" s="5"/>
      <c r="N14" s="5"/>
      <c r="P14" s="5"/>
    </row>
    <row r="15" spans="1:16" ht="16.5">
      <c r="A15" s="25" t="s">
        <v>128</v>
      </c>
      <c r="B15" s="25" t="s">
        <v>129</v>
      </c>
      <c r="C15" s="25"/>
      <c r="D15" s="25" t="s">
        <v>29</v>
      </c>
      <c r="F15" s="5"/>
      <c r="G15" s="5"/>
      <c r="H15" s="5"/>
      <c r="M15" s="5"/>
      <c r="N15" s="5"/>
      <c r="P15" s="5"/>
    </row>
    <row r="16" spans="1:16" ht="145">
      <c r="A16" s="31" t="s">
        <v>130</v>
      </c>
      <c r="B16" s="31" t="s">
        <v>131</v>
      </c>
      <c r="C16" s="31"/>
      <c r="D16" s="79" t="s">
        <v>132</v>
      </c>
      <c r="E16" s="5"/>
      <c r="F16" s="5"/>
      <c r="G16" s="5"/>
      <c r="H16" s="5"/>
      <c r="M16" s="5"/>
      <c r="N16" s="5"/>
      <c r="P16" s="5"/>
    </row>
    <row r="17" spans="1:16" ht="159.5">
      <c r="A17" s="31" t="s">
        <v>133</v>
      </c>
      <c r="B17" s="31" t="s">
        <v>134</v>
      </c>
      <c r="C17" s="31"/>
      <c r="D17" s="79" t="s">
        <v>135</v>
      </c>
      <c r="E17" s="5"/>
      <c r="F17" s="5"/>
      <c r="G17" s="5"/>
      <c r="H17" s="5"/>
      <c r="M17" s="5"/>
      <c r="N17" s="5"/>
      <c r="P17" s="5"/>
    </row>
    <row r="18" spans="1:16" ht="14.25" customHeight="1">
      <c r="B18" s="5"/>
      <c r="C18" s="5"/>
      <c r="D18" s="5"/>
      <c r="E18" s="5"/>
      <c r="F18" s="5"/>
      <c r="G18" s="5"/>
      <c r="H18" s="5"/>
      <c r="M18" s="5"/>
      <c r="N18" s="5"/>
      <c r="P18" s="5"/>
    </row>
    <row r="19" spans="1:16" ht="14.25" customHeight="1">
      <c r="B19" s="5"/>
      <c r="C19" s="5"/>
      <c r="D19" s="5"/>
      <c r="E19" s="5"/>
      <c r="F19" s="5"/>
      <c r="G19" s="5"/>
      <c r="H19" s="5"/>
      <c r="M19" s="5"/>
      <c r="N19" s="5"/>
      <c r="P19" s="5"/>
    </row>
    <row r="20" spans="1:16" ht="14.25" customHeight="1">
      <c r="B20" s="5"/>
      <c r="C20" s="5"/>
      <c r="D20" s="5"/>
      <c r="E20" s="5"/>
      <c r="F20" s="5"/>
      <c r="G20" s="5"/>
      <c r="H20" s="5"/>
      <c r="M20" s="5"/>
      <c r="N20" s="5"/>
      <c r="P20" s="5"/>
    </row>
    <row r="21" spans="1:16" ht="14.25" customHeight="1">
      <c r="B21" s="5"/>
      <c r="C21" s="5"/>
      <c r="D21" s="5"/>
      <c r="E21" s="5"/>
      <c r="F21" s="5"/>
      <c r="G21" s="5"/>
      <c r="H21" s="5"/>
      <c r="M21" s="5"/>
      <c r="N21" s="5"/>
      <c r="P21" s="5"/>
    </row>
    <row r="22" spans="1:16" ht="14.25" customHeight="1">
      <c r="B22" s="5"/>
      <c r="C22" s="5"/>
      <c r="D22" s="5"/>
      <c r="E22" s="5"/>
      <c r="F22" s="5"/>
      <c r="G22" s="5"/>
      <c r="H22" s="5"/>
      <c r="M22" s="5"/>
      <c r="N22" s="5"/>
      <c r="P22" s="5"/>
    </row>
    <row r="23" spans="1:16" ht="14.25" customHeight="1">
      <c r="B23" s="5"/>
      <c r="C23" s="5"/>
      <c r="D23" s="5"/>
      <c r="E23" s="5"/>
      <c r="F23" s="5"/>
      <c r="G23" s="5"/>
      <c r="H23" s="5"/>
      <c r="M23" s="5"/>
      <c r="N23" s="5"/>
      <c r="P23" s="5"/>
    </row>
    <row r="24" spans="1:16" ht="14.25" customHeight="1">
      <c r="B24" s="5"/>
      <c r="C24" s="5"/>
      <c r="D24" s="5"/>
      <c r="E24" s="5"/>
      <c r="F24" s="5"/>
      <c r="G24" s="5"/>
      <c r="H24" s="5"/>
      <c r="M24" s="5"/>
      <c r="N24" s="5"/>
      <c r="P24" s="5"/>
    </row>
    <row r="25" spans="1:16" ht="14.25" customHeight="1">
      <c r="B25" s="5"/>
      <c r="C25" s="5"/>
      <c r="D25" s="5"/>
      <c r="E25" s="5"/>
      <c r="F25" s="5"/>
      <c r="G25" s="5"/>
      <c r="H25" s="5"/>
      <c r="M25" s="5"/>
      <c r="N25" s="5"/>
      <c r="P25" s="5"/>
    </row>
    <row r="26" spans="1:16" ht="14.25" customHeight="1">
      <c r="B26" s="5"/>
      <c r="C26" s="5"/>
      <c r="D26" s="5"/>
      <c r="E26" s="5"/>
      <c r="F26" s="5"/>
      <c r="G26" s="5"/>
      <c r="H26" s="5"/>
      <c r="M26" s="5"/>
      <c r="N26" s="5"/>
      <c r="P26" s="5"/>
    </row>
    <row r="27" spans="1:16" ht="14.25" customHeight="1">
      <c r="B27" s="5"/>
      <c r="C27" s="5"/>
      <c r="D27" s="5"/>
      <c r="E27" s="5"/>
      <c r="F27" s="5"/>
      <c r="G27" s="5"/>
      <c r="H27" s="5"/>
      <c r="M27" s="5"/>
      <c r="N27" s="5"/>
      <c r="P27" s="5"/>
    </row>
    <row r="28" spans="1:16" ht="14.25" customHeight="1">
      <c r="B28" s="5"/>
      <c r="C28" s="5"/>
      <c r="D28" s="5"/>
      <c r="E28" s="5"/>
      <c r="F28" s="5"/>
      <c r="G28" s="5"/>
      <c r="H28" s="5"/>
      <c r="M28" s="5"/>
      <c r="N28" s="5"/>
      <c r="P28" s="5"/>
    </row>
    <row r="29" spans="1:16" ht="14.25" customHeight="1">
      <c r="B29" s="5"/>
      <c r="C29" s="5"/>
      <c r="D29" s="5"/>
      <c r="E29" s="5"/>
      <c r="F29" s="5"/>
      <c r="G29" s="5"/>
      <c r="H29" s="5"/>
      <c r="M29" s="5"/>
      <c r="N29" s="5"/>
      <c r="P29" s="5"/>
    </row>
    <row r="30" spans="1:16" ht="14.25" customHeight="1">
      <c r="B30" s="5"/>
      <c r="C30" s="5"/>
      <c r="D30" s="5"/>
      <c r="E30" s="5"/>
      <c r="F30" s="5"/>
      <c r="G30" s="5"/>
      <c r="H30" s="5"/>
      <c r="M30" s="5"/>
      <c r="N30" s="5"/>
      <c r="P30" s="5"/>
    </row>
    <row r="31" spans="1:16" ht="14.25" customHeight="1">
      <c r="B31" s="5"/>
      <c r="C31" s="5"/>
      <c r="D31" s="5"/>
      <c r="E31" s="5"/>
      <c r="F31" s="5"/>
      <c r="G31" s="5"/>
      <c r="H31" s="5"/>
      <c r="M31" s="5"/>
      <c r="N31" s="5"/>
      <c r="P31" s="5"/>
    </row>
    <row r="32" spans="1:16" ht="14.25" customHeight="1">
      <c r="B32" s="5"/>
      <c r="C32" s="5"/>
      <c r="D32" s="5"/>
      <c r="E32" s="5"/>
      <c r="F32" s="5"/>
      <c r="G32" s="5"/>
      <c r="H32" s="5"/>
      <c r="M32" s="5"/>
      <c r="N32" s="5"/>
      <c r="P32" s="5"/>
    </row>
    <row r="33" spans="2:16" ht="14.25" customHeight="1">
      <c r="B33" s="5"/>
      <c r="C33" s="5"/>
      <c r="D33" s="5"/>
      <c r="E33" s="5"/>
      <c r="F33" s="5"/>
      <c r="G33" s="5"/>
      <c r="H33" s="5"/>
      <c r="M33" s="5"/>
      <c r="N33" s="5"/>
      <c r="P33" s="5"/>
    </row>
    <row r="34" spans="2:16" ht="14.25" customHeight="1">
      <c r="B34" s="5"/>
      <c r="C34" s="5"/>
      <c r="D34" s="5"/>
      <c r="E34" s="5"/>
      <c r="F34" s="5"/>
      <c r="G34" s="5"/>
      <c r="H34" s="5"/>
      <c r="M34" s="5"/>
      <c r="N34" s="5"/>
      <c r="P34" s="5"/>
    </row>
    <row r="35" spans="2:16" ht="14.25" customHeight="1">
      <c r="B35" s="5"/>
      <c r="C35" s="5"/>
      <c r="D35" s="5"/>
      <c r="E35" s="5"/>
      <c r="F35" s="5"/>
      <c r="G35" s="5"/>
      <c r="H35" s="5"/>
      <c r="M35" s="5"/>
      <c r="N35" s="5"/>
      <c r="P35" s="5"/>
    </row>
    <row r="36" spans="2:16" ht="14.25" customHeight="1">
      <c r="B36" s="5"/>
      <c r="C36" s="5"/>
      <c r="D36" s="5"/>
      <c r="E36" s="5"/>
      <c r="F36" s="5"/>
      <c r="G36" s="5"/>
      <c r="H36" s="5"/>
      <c r="M36" s="5"/>
      <c r="N36" s="5"/>
      <c r="P36" s="5"/>
    </row>
    <row r="37" spans="2:16" ht="14.25" customHeight="1">
      <c r="B37" s="5"/>
      <c r="C37" s="5"/>
      <c r="D37" s="5"/>
      <c r="E37" s="5"/>
      <c r="F37" s="5"/>
      <c r="G37" s="5"/>
      <c r="H37" s="5"/>
      <c r="M37" s="5"/>
      <c r="N37" s="5"/>
      <c r="P37" s="5"/>
    </row>
    <row r="38" spans="2:16" ht="14.25" customHeight="1">
      <c r="B38" s="5"/>
      <c r="C38" s="5"/>
      <c r="D38" s="5"/>
      <c r="E38" s="5"/>
      <c r="F38" s="5"/>
      <c r="G38" s="5"/>
      <c r="H38" s="5"/>
      <c r="M38" s="5"/>
      <c r="N38" s="5"/>
      <c r="P38" s="5"/>
    </row>
    <row r="39" spans="2:16" ht="14.25" customHeight="1">
      <c r="B39" s="5"/>
      <c r="C39" s="5"/>
      <c r="D39" s="5"/>
      <c r="E39" s="5"/>
      <c r="F39" s="5"/>
      <c r="G39" s="5"/>
      <c r="H39" s="5"/>
      <c r="M39" s="5"/>
      <c r="N39" s="5"/>
      <c r="P39" s="5"/>
    </row>
    <row r="40" spans="2:16" ht="14.25" customHeight="1">
      <c r="B40" s="5"/>
      <c r="C40" s="5"/>
      <c r="D40" s="5"/>
      <c r="E40" s="5"/>
      <c r="F40" s="5"/>
      <c r="G40" s="5"/>
      <c r="H40" s="5"/>
      <c r="M40" s="5"/>
      <c r="N40" s="5"/>
      <c r="P40" s="5"/>
    </row>
    <row r="41" spans="2:16" ht="14.25" customHeight="1">
      <c r="B41" s="5"/>
      <c r="C41" s="5"/>
      <c r="D41" s="5"/>
      <c r="E41" s="5"/>
      <c r="F41" s="5"/>
      <c r="G41" s="5"/>
      <c r="H41" s="5"/>
      <c r="M41" s="5"/>
      <c r="N41" s="5"/>
      <c r="P41" s="5"/>
    </row>
    <row r="42" spans="2:16" ht="14.25" customHeight="1">
      <c r="B42" s="5"/>
      <c r="C42" s="5"/>
      <c r="D42" s="5"/>
      <c r="E42" s="5"/>
      <c r="F42" s="5"/>
      <c r="G42" s="5"/>
      <c r="H42" s="5"/>
      <c r="M42" s="5"/>
      <c r="N42" s="5"/>
      <c r="P42" s="5"/>
    </row>
    <row r="43" spans="2:16" ht="14.25" customHeight="1">
      <c r="B43" s="5"/>
      <c r="C43" s="5"/>
      <c r="D43" s="5"/>
      <c r="E43" s="5"/>
      <c r="F43" s="5"/>
      <c r="G43" s="5"/>
      <c r="H43" s="5"/>
      <c r="M43" s="5"/>
      <c r="N43" s="5"/>
      <c r="P43" s="5"/>
    </row>
    <row r="44" spans="2:16" ht="14.25" customHeight="1">
      <c r="B44" s="5"/>
      <c r="C44" s="5"/>
      <c r="D44" s="5"/>
      <c r="E44" s="5"/>
      <c r="F44" s="5"/>
      <c r="G44" s="5"/>
      <c r="H44" s="5"/>
      <c r="M44" s="5"/>
      <c r="N44" s="5"/>
      <c r="P44" s="5"/>
    </row>
    <row r="45" spans="2:16" ht="14.25" customHeight="1">
      <c r="B45" s="5"/>
      <c r="C45" s="5"/>
      <c r="D45" s="5"/>
      <c r="E45" s="5"/>
      <c r="F45" s="5"/>
      <c r="G45" s="5"/>
      <c r="H45" s="5"/>
      <c r="M45" s="5"/>
      <c r="N45" s="5"/>
      <c r="P45" s="5"/>
    </row>
    <row r="46" spans="2:16" ht="14.25" customHeight="1">
      <c r="B46" s="5"/>
      <c r="C46" s="5"/>
      <c r="D46" s="5"/>
      <c r="E46" s="5"/>
      <c r="F46" s="5"/>
      <c r="G46" s="5"/>
      <c r="H46" s="5"/>
      <c r="M46" s="5"/>
      <c r="N46" s="5"/>
      <c r="P46" s="5"/>
    </row>
    <row r="47" spans="2:16" ht="14.25" customHeight="1">
      <c r="B47" s="5"/>
      <c r="C47" s="5"/>
      <c r="D47" s="5"/>
      <c r="E47" s="5"/>
      <c r="F47" s="5"/>
      <c r="G47" s="5"/>
      <c r="H47" s="5"/>
      <c r="M47" s="5"/>
      <c r="N47" s="5"/>
      <c r="P47" s="5"/>
    </row>
    <row r="48" spans="2:16" ht="14.25" customHeight="1">
      <c r="B48" s="5"/>
      <c r="C48" s="5"/>
      <c r="D48" s="5"/>
      <c r="E48" s="5"/>
      <c r="F48" s="5"/>
      <c r="G48" s="5"/>
      <c r="H48" s="5"/>
      <c r="M48" s="5"/>
      <c r="N48" s="5"/>
      <c r="P48" s="5"/>
    </row>
    <row r="49" spans="2:16" ht="14.25" customHeight="1">
      <c r="B49" s="5"/>
      <c r="C49" s="5"/>
      <c r="D49" s="5"/>
      <c r="E49" s="5"/>
      <c r="F49" s="5"/>
      <c r="G49" s="5"/>
      <c r="H49" s="5"/>
      <c r="M49" s="5"/>
      <c r="N49" s="5"/>
      <c r="P49" s="5"/>
    </row>
    <row r="50" spans="2:16" ht="14.25" customHeight="1">
      <c r="B50" s="5"/>
      <c r="C50" s="5"/>
      <c r="D50" s="5"/>
      <c r="E50" s="5"/>
      <c r="F50" s="5"/>
      <c r="G50" s="5"/>
      <c r="H50" s="5"/>
      <c r="M50" s="5"/>
      <c r="N50" s="5"/>
      <c r="P50" s="5"/>
    </row>
    <row r="51" spans="2:16" ht="14.25" customHeight="1">
      <c r="B51" s="5"/>
      <c r="C51" s="5"/>
      <c r="D51" s="5"/>
      <c r="E51" s="5"/>
      <c r="F51" s="5"/>
      <c r="G51" s="5"/>
      <c r="H51" s="5"/>
      <c r="M51" s="5"/>
      <c r="N51" s="5"/>
      <c r="P51" s="5"/>
    </row>
    <row r="52" spans="2:16" ht="14.25" customHeight="1">
      <c r="B52" s="5"/>
      <c r="C52" s="5"/>
      <c r="D52" s="5"/>
      <c r="E52" s="5"/>
      <c r="F52" s="5"/>
      <c r="G52" s="5"/>
      <c r="H52" s="5"/>
      <c r="M52" s="5"/>
      <c r="N52" s="5"/>
      <c r="P52" s="5"/>
    </row>
    <row r="53" spans="2:16" ht="14.25" customHeight="1">
      <c r="B53" s="5"/>
      <c r="C53" s="5"/>
      <c r="D53" s="5"/>
      <c r="E53" s="5"/>
      <c r="F53" s="5"/>
      <c r="G53" s="5"/>
      <c r="H53" s="5"/>
      <c r="M53" s="5"/>
      <c r="N53" s="5"/>
      <c r="P53" s="5"/>
    </row>
    <row r="54" spans="2:16" ht="14.25" customHeight="1">
      <c r="B54" s="5"/>
      <c r="C54" s="5"/>
      <c r="D54" s="5"/>
      <c r="E54" s="5"/>
      <c r="F54" s="5"/>
      <c r="G54" s="5"/>
      <c r="H54" s="5"/>
      <c r="M54" s="5"/>
      <c r="N54" s="5"/>
      <c r="P54" s="5"/>
    </row>
    <row r="55" spans="2:16" ht="14.25" customHeight="1">
      <c r="B55" s="5"/>
      <c r="C55" s="5"/>
      <c r="D55" s="5"/>
      <c r="E55" s="5"/>
      <c r="F55" s="5"/>
      <c r="G55" s="5"/>
      <c r="H55" s="5"/>
      <c r="M55" s="5"/>
      <c r="N55" s="5"/>
      <c r="P55" s="5"/>
    </row>
    <row r="56" spans="2:16" ht="14.25" customHeight="1">
      <c r="B56" s="5"/>
      <c r="C56" s="5"/>
      <c r="D56" s="5"/>
      <c r="E56" s="5"/>
      <c r="F56" s="5"/>
      <c r="G56" s="5"/>
      <c r="H56" s="5"/>
      <c r="M56" s="5"/>
      <c r="N56" s="5"/>
      <c r="P56" s="5"/>
    </row>
    <row r="57" spans="2:16" ht="14.25" customHeight="1">
      <c r="B57" s="5"/>
      <c r="C57" s="5"/>
      <c r="D57" s="5"/>
      <c r="E57" s="5"/>
      <c r="F57" s="5"/>
      <c r="G57" s="5"/>
      <c r="H57" s="5"/>
      <c r="M57" s="5"/>
      <c r="N57" s="5"/>
      <c r="P57" s="5"/>
    </row>
    <row r="58" spans="2:16" ht="14.25" customHeight="1">
      <c r="B58" s="5"/>
      <c r="C58" s="5"/>
      <c r="D58" s="5"/>
      <c r="E58" s="5"/>
      <c r="F58" s="5"/>
      <c r="G58" s="5"/>
      <c r="H58" s="5"/>
      <c r="M58" s="5"/>
      <c r="N58" s="5"/>
      <c r="P58" s="5"/>
    </row>
    <row r="59" spans="2:16" ht="14.25" customHeight="1">
      <c r="B59" s="5"/>
      <c r="C59" s="5"/>
      <c r="D59" s="5"/>
      <c r="E59" s="5"/>
      <c r="F59" s="5"/>
      <c r="G59" s="5"/>
      <c r="H59" s="5"/>
      <c r="M59" s="5"/>
      <c r="N59" s="5"/>
      <c r="P59" s="5"/>
    </row>
    <row r="60" spans="2:16" ht="14.25" customHeight="1">
      <c r="B60" s="5"/>
      <c r="C60" s="5"/>
      <c r="D60" s="5"/>
      <c r="E60" s="5"/>
      <c r="F60" s="5"/>
      <c r="G60" s="5"/>
      <c r="H60" s="5"/>
      <c r="M60" s="5"/>
      <c r="N60" s="5"/>
      <c r="P60" s="5"/>
    </row>
    <row r="61" spans="2:16" ht="14.25" customHeight="1">
      <c r="B61" s="5"/>
      <c r="C61" s="5"/>
      <c r="D61" s="5"/>
      <c r="E61" s="5"/>
      <c r="F61" s="5"/>
      <c r="G61" s="5"/>
      <c r="H61" s="5"/>
      <c r="M61" s="5"/>
      <c r="N61" s="5"/>
      <c r="P61" s="5"/>
    </row>
    <row r="62" spans="2:16" ht="14.25" customHeight="1">
      <c r="B62" s="5"/>
      <c r="C62" s="5"/>
      <c r="D62" s="5"/>
      <c r="E62" s="5"/>
      <c r="F62" s="5"/>
      <c r="G62" s="5"/>
      <c r="H62" s="5"/>
      <c r="M62" s="5"/>
      <c r="N62" s="5"/>
      <c r="P62" s="5"/>
    </row>
    <row r="63" spans="2:16" ht="14.25" customHeight="1">
      <c r="B63" s="5"/>
      <c r="C63" s="5"/>
      <c r="D63" s="5"/>
      <c r="E63" s="5"/>
      <c r="F63" s="5"/>
      <c r="G63" s="5"/>
      <c r="H63" s="5"/>
      <c r="M63" s="5"/>
      <c r="N63" s="5"/>
      <c r="P63" s="5"/>
    </row>
    <row r="64" spans="2:16" ht="14.25" customHeight="1">
      <c r="B64" s="5"/>
      <c r="C64" s="5"/>
      <c r="D64" s="5"/>
      <c r="E64" s="5"/>
      <c r="F64" s="5"/>
      <c r="G64" s="5"/>
      <c r="H64" s="5"/>
      <c r="M64" s="5"/>
      <c r="N64" s="5"/>
      <c r="P64" s="5"/>
    </row>
    <row r="65" spans="2:16" ht="14.25" customHeight="1">
      <c r="B65" s="5"/>
      <c r="C65" s="5"/>
      <c r="D65" s="5"/>
      <c r="E65" s="5"/>
      <c r="F65" s="5"/>
      <c r="G65" s="5"/>
      <c r="H65" s="5"/>
      <c r="M65" s="5"/>
      <c r="N65" s="5"/>
      <c r="P65" s="5"/>
    </row>
    <row r="66" spans="2:16" ht="14.25" customHeight="1">
      <c r="B66" s="5"/>
      <c r="C66" s="5"/>
      <c r="D66" s="5"/>
      <c r="E66" s="5"/>
      <c r="F66" s="5"/>
      <c r="G66" s="5"/>
      <c r="H66" s="5"/>
      <c r="M66" s="5"/>
      <c r="N66" s="5"/>
      <c r="P66" s="5"/>
    </row>
    <row r="67" spans="2:16" ht="14.25" customHeight="1">
      <c r="B67" s="5"/>
      <c r="C67" s="5"/>
      <c r="D67" s="5"/>
      <c r="E67" s="5"/>
      <c r="F67" s="5"/>
      <c r="G67" s="5"/>
      <c r="H67" s="5"/>
      <c r="M67" s="5"/>
      <c r="N67" s="5"/>
      <c r="P67" s="5"/>
    </row>
    <row r="68" spans="2:16" ht="14.25" customHeight="1">
      <c r="B68" s="5"/>
      <c r="C68" s="5"/>
      <c r="D68" s="5"/>
      <c r="E68" s="5"/>
      <c r="F68" s="5"/>
      <c r="G68" s="5"/>
      <c r="H68" s="5"/>
      <c r="M68" s="5"/>
      <c r="N68" s="5"/>
      <c r="P68" s="5"/>
    </row>
    <row r="69" spans="2:16" ht="14.25" customHeight="1">
      <c r="B69" s="5"/>
      <c r="C69" s="5"/>
      <c r="D69" s="5"/>
      <c r="E69" s="5"/>
      <c r="F69" s="5"/>
      <c r="G69" s="5"/>
      <c r="H69" s="5"/>
      <c r="M69" s="5"/>
      <c r="N69" s="5"/>
      <c r="P69" s="5"/>
    </row>
    <row r="70" spans="2:16" ht="14.25" customHeight="1">
      <c r="B70" s="5"/>
      <c r="C70" s="5"/>
      <c r="D70" s="5"/>
      <c r="E70" s="5"/>
      <c r="F70" s="5"/>
      <c r="G70" s="5"/>
      <c r="H70" s="5"/>
      <c r="M70" s="5"/>
      <c r="N70" s="5"/>
      <c r="P70" s="5"/>
    </row>
    <row r="71" spans="2:16" ht="14.25" customHeight="1">
      <c r="B71" s="5"/>
      <c r="C71" s="5"/>
      <c r="D71" s="5"/>
      <c r="E71" s="5"/>
      <c r="F71" s="5"/>
      <c r="G71" s="5"/>
      <c r="H71" s="5"/>
      <c r="M71" s="5"/>
      <c r="N71" s="5"/>
      <c r="P71" s="5"/>
    </row>
    <row r="72" spans="2:16" ht="14.25" customHeight="1">
      <c r="B72" s="5"/>
      <c r="C72" s="5"/>
      <c r="D72" s="5"/>
      <c r="E72" s="5"/>
      <c r="F72" s="5"/>
      <c r="G72" s="5"/>
      <c r="H72" s="5"/>
      <c r="M72" s="5"/>
      <c r="N72" s="5"/>
      <c r="P72" s="5"/>
    </row>
    <row r="73" spans="2:16" ht="14.25" customHeight="1">
      <c r="B73" s="5"/>
      <c r="C73" s="5"/>
      <c r="D73" s="5"/>
      <c r="E73" s="5"/>
      <c r="F73" s="5"/>
      <c r="G73" s="5"/>
      <c r="H73" s="5"/>
      <c r="M73" s="5"/>
      <c r="N73" s="5"/>
      <c r="P73" s="5"/>
    </row>
    <row r="74" spans="2:16" ht="14.25" customHeight="1">
      <c r="B74" s="5"/>
      <c r="C74" s="5"/>
      <c r="D74" s="5"/>
      <c r="E74" s="5"/>
      <c r="F74" s="5"/>
      <c r="G74" s="5"/>
      <c r="H74" s="5"/>
      <c r="M74" s="5"/>
      <c r="N74" s="5"/>
      <c r="P74" s="5"/>
    </row>
    <row r="75" spans="2:16" ht="14.25" customHeight="1">
      <c r="B75" s="5"/>
      <c r="C75" s="5"/>
      <c r="D75" s="5"/>
      <c r="E75" s="5"/>
      <c r="F75" s="5"/>
      <c r="G75" s="5"/>
      <c r="H75" s="5"/>
      <c r="M75" s="5"/>
      <c r="N75" s="5"/>
      <c r="P75" s="5"/>
    </row>
    <row r="76" spans="2:16" ht="14.25" customHeight="1">
      <c r="B76" s="5"/>
      <c r="C76" s="5"/>
      <c r="D76" s="5"/>
      <c r="E76" s="5"/>
      <c r="F76" s="5"/>
      <c r="G76" s="5"/>
      <c r="H76" s="5"/>
      <c r="M76" s="5"/>
      <c r="N76" s="5"/>
      <c r="P76" s="5"/>
    </row>
    <row r="77" spans="2:16" ht="14.25" customHeight="1">
      <c r="B77" s="5"/>
      <c r="C77" s="5"/>
      <c r="D77" s="5"/>
      <c r="E77" s="5"/>
      <c r="F77" s="5"/>
      <c r="G77" s="5"/>
      <c r="H77" s="5"/>
      <c r="M77" s="5"/>
      <c r="N77" s="5"/>
      <c r="P77" s="5"/>
    </row>
    <row r="78" spans="2:16" ht="14.25" customHeight="1">
      <c r="B78" s="5"/>
      <c r="C78" s="5"/>
      <c r="D78" s="5"/>
      <c r="E78" s="5"/>
      <c r="F78" s="5"/>
      <c r="G78" s="5"/>
      <c r="H78" s="5"/>
      <c r="M78" s="5"/>
      <c r="N78" s="5"/>
      <c r="P78" s="5"/>
    </row>
    <row r="79" spans="2:16" ht="14.25" customHeight="1">
      <c r="B79" s="5"/>
      <c r="C79" s="5"/>
      <c r="D79" s="5"/>
      <c r="E79" s="5"/>
      <c r="F79" s="5"/>
      <c r="G79" s="5"/>
      <c r="H79" s="5"/>
      <c r="M79" s="5"/>
      <c r="N79" s="5"/>
      <c r="P79" s="5"/>
    </row>
    <row r="80" spans="2:16" ht="14.25" customHeight="1">
      <c r="B80" s="5"/>
      <c r="C80" s="5"/>
      <c r="D80" s="5"/>
      <c r="E80" s="5"/>
      <c r="F80" s="5"/>
      <c r="G80" s="5"/>
      <c r="H80" s="5"/>
      <c r="M80" s="5"/>
      <c r="N80" s="5"/>
      <c r="P80" s="5"/>
    </row>
    <row r="81" spans="2:16" ht="14.25" customHeight="1">
      <c r="B81" s="5"/>
      <c r="C81" s="5"/>
      <c r="D81" s="5"/>
      <c r="E81" s="5"/>
      <c r="F81" s="5"/>
      <c r="G81" s="5"/>
      <c r="H81" s="5"/>
      <c r="M81" s="5"/>
      <c r="N81" s="5"/>
      <c r="P81" s="5"/>
    </row>
    <row r="82" spans="2:16" ht="14.25" customHeight="1">
      <c r="B82" s="5"/>
      <c r="C82" s="5"/>
      <c r="D82" s="5"/>
      <c r="E82" s="5"/>
      <c r="F82" s="5"/>
      <c r="G82" s="5"/>
      <c r="H82" s="5"/>
      <c r="M82" s="5"/>
      <c r="N82" s="5"/>
      <c r="P82" s="5"/>
    </row>
    <row r="83" spans="2:16" ht="14.25" customHeight="1">
      <c r="B83" s="5"/>
      <c r="C83" s="5"/>
      <c r="D83" s="5"/>
      <c r="E83" s="5"/>
      <c r="F83" s="5"/>
      <c r="G83" s="5"/>
      <c r="H83" s="5"/>
      <c r="M83" s="5"/>
      <c r="N83" s="5"/>
      <c r="P83" s="5"/>
    </row>
    <row r="84" spans="2:16" ht="14.25" customHeight="1">
      <c r="B84" s="5"/>
      <c r="C84" s="5"/>
      <c r="D84" s="5"/>
      <c r="E84" s="5"/>
      <c r="F84" s="5"/>
      <c r="G84" s="5"/>
      <c r="H84" s="5"/>
      <c r="M84" s="5"/>
      <c r="N84" s="5"/>
      <c r="P84" s="5"/>
    </row>
    <row r="85" spans="2:16" ht="14.25" customHeight="1">
      <c r="B85" s="5"/>
      <c r="C85" s="5"/>
      <c r="D85" s="5"/>
      <c r="E85" s="5"/>
      <c r="F85" s="5"/>
      <c r="G85" s="5"/>
      <c r="H85" s="5"/>
      <c r="M85" s="5"/>
      <c r="N85" s="5"/>
      <c r="P85" s="5"/>
    </row>
    <row r="86" spans="2:16" ht="14.25" customHeight="1">
      <c r="B86" s="5"/>
      <c r="C86" s="5"/>
      <c r="D86" s="5"/>
      <c r="E86" s="5"/>
      <c r="F86" s="5"/>
      <c r="G86" s="5"/>
      <c r="H86" s="5"/>
      <c r="M86" s="5"/>
      <c r="N86" s="5"/>
      <c r="P86" s="5"/>
    </row>
    <row r="87" spans="2:16" ht="14.25" customHeight="1">
      <c r="B87" s="5"/>
      <c r="C87" s="5"/>
      <c r="D87" s="5"/>
      <c r="E87" s="5"/>
      <c r="F87" s="5"/>
      <c r="G87" s="5"/>
      <c r="H87" s="5"/>
      <c r="M87" s="5"/>
      <c r="N87" s="5"/>
      <c r="P87" s="5"/>
    </row>
    <row r="88" spans="2:16" ht="14.25" customHeight="1">
      <c r="B88" s="5"/>
      <c r="C88" s="5"/>
      <c r="D88" s="5"/>
      <c r="E88" s="5"/>
      <c r="F88" s="5"/>
      <c r="G88" s="5"/>
      <c r="H88" s="5"/>
      <c r="M88" s="5"/>
      <c r="N88" s="5"/>
      <c r="P88" s="5"/>
    </row>
    <row r="89" spans="2:16" ht="14.25" customHeight="1">
      <c r="B89" s="5"/>
      <c r="C89" s="5"/>
      <c r="D89" s="5"/>
      <c r="E89" s="5"/>
      <c r="F89" s="5"/>
      <c r="G89" s="5"/>
      <c r="H89" s="5"/>
      <c r="M89" s="5"/>
      <c r="N89" s="5"/>
      <c r="P89" s="5"/>
    </row>
    <row r="90" spans="2:16" ht="14.25" customHeight="1">
      <c r="B90" s="5"/>
      <c r="C90" s="5"/>
      <c r="D90" s="5"/>
      <c r="E90" s="5"/>
      <c r="F90" s="5"/>
      <c r="G90" s="5"/>
      <c r="H90" s="5"/>
      <c r="M90" s="5"/>
      <c r="N90" s="5"/>
      <c r="P90" s="5"/>
    </row>
    <row r="91" spans="2:16" ht="14.25" customHeight="1">
      <c r="B91" s="5"/>
      <c r="C91" s="5"/>
      <c r="D91" s="5"/>
      <c r="E91" s="5"/>
      <c r="F91" s="5"/>
      <c r="G91" s="5"/>
      <c r="H91" s="5"/>
      <c r="M91" s="5"/>
      <c r="N91" s="5"/>
      <c r="P91" s="5"/>
    </row>
    <row r="92" spans="2:16" ht="14.25" customHeight="1">
      <c r="B92" s="5"/>
      <c r="C92" s="5"/>
      <c r="D92" s="5"/>
      <c r="E92" s="5"/>
      <c r="F92" s="5"/>
      <c r="G92" s="5"/>
      <c r="H92" s="5"/>
      <c r="M92" s="5"/>
      <c r="N92" s="5"/>
      <c r="P92" s="5"/>
    </row>
    <row r="93" spans="2:16" ht="14.25" customHeight="1">
      <c r="B93" s="5"/>
      <c r="C93" s="5"/>
      <c r="D93" s="5"/>
      <c r="E93" s="5"/>
      <c r="F93" s="5"/>
      <c r="G93" s="5"/>
      <c r="H93" s="5"/>
      <c r="M93" s="5"/>
      <c r="N93" s="5"/>
      <c r="P93" s="5"/>
    </row>
    <row r="94" spans="2:16" ht="14.25" customHeight="1">
      <c r="B94" s="5"/>
      <c r="C94" s="5"/>
      <c r="D94" s="5"/>
      <c r="E94" s="5"/>
      <c r="F94" s="5"/>
      <c r="G94" s="5"/>
      <c r="H94" s="5"/>
      <c r="M94" s="5"/>
      <c r="N94" s="5"/>
      <c r="P94" s="5"/>
    </row>
    <row r="95" spans="2:16" ht="14.25" customHeight="1">
      <c r="B95" s="5"/>
      <c r="C95" s="5"/>
      <c r="D95" s="5"/>
      <c r="E95" s="5"/>
      <c r="F95" s="5"/>
      <c r="G95" s="5"/>
      <c r="H95" s="5"/>
      <c r="M95" s="5"/>
      <c r="N95" s="5"/>
      <c r="P95" s="5"/>
    </row>
    <row r="96" spans="2:16" ht="14.25" customHeight="1">
      <c r="B96" s="5"/>
      <c r="C96" s="5"/>
      <c r="D96" s="5"/>
      <c r="E96" s="5"/>
      <c r="F96" s="5"/>
      <c r="G96" s="5"/>
      <c r="H96" s="5"/>
      <c r="M96" s="5"/>
      <c r="N96" s="5"/>
      <c r="P96" s="5"/>
    </row>
    <row r="97" spans="2:16" ht="14.25" customHeight="1">
      <c r="B97" s="5"/>
      <c r="C97" s="5"/>
      <c r="D97" s="5"/>
      <c r="E97" s="5"/>
      <c r="F97" s="5"/>
      <c r="G97" s="5"/>
      <c r="H97" s="5"/>
      <c r="M97" s="5"/>
      <c r="N97" s="5"/>
      <c r="P97" s="5"/>
    </row>
    <row r="98" spans="2:16" ht="14.25" customHeight="1">
      <c r="B98" s="5"/>
      <c r="C98" s="5"/>
      <c r="D98" s="5"/>
      <c r="E98" s="5"/>
      <c r="F98" s="5"/>
      <c r="G98" s="5"/>
      <c r="H98" s="5"/>
      <c r="M98" s="5"/>
      <c r="N98" s="5"/>
      <c r="P98" s="5"/>
    </row>
    <row r="99" spans="2:16" ht="14.25" customHeight="1">
      <c r="B99" s="5"/>
      <c r="C99" s="5"/>
      <c r="D99" s="5"/>
      <c r="E99" s="5"/>
      <c r="F99" s="5"/>
      <c r="G99" s="5"/>
      <c r="H99" s="5"/>
      <c r="M99" s="5"/>
      <c r="N99" s="5"/>
      <c r="P99" s="5"/>
    </row>
    <row r="100" spans="2:16" ht="14.25" customHeight="1">
      <c r="B100" s="5"/>
      <c r="C100" s="5"/>
      <c r="D100" s="5"/>
      <c r="E100" s="5"/>
      <c r="F100" s="5"/>
      <c r="G100" s="5"/>
      <c r="H100" s="5"/>
      <c r="M100" s="5"/>
      <c r="N100" s="5"/>
      <c r="P100" s="5"/>
    </row>
    <row r="101" spans="2:16" ht="14.25" customHeight="1">
      <c r="B101" s="5"/>
      <c r="C101" s="5"/>
      <c r="D101" s="5"/>
      <c r="E101" s="5"/>
      <c r="F101" s="5"/>
      <c r="G101" s="5"/>
      <c r="H101" s="5"/>
      <c r="M101" s="5"/>
      <c r="N101" s="5"/>
      <c r="P101" s="5"/>
    </row>
    <row r="102" spans="2:16" ht="14.25" customHeight="1">
      <c r="B102" s="5"/>
      <c r="C102" s="5"/>
      <c r="D102" s="5"/>
      <c r="E102" s="5"/>
      <c r="F102" s="5"/>
      <c r="G102" s="5"/>
      <c r="H102" s="5"/>
      <c r="M102" s="5"/>
      <c r="N102" s="5"/>
      <c r="P102" s="5"/>
    </row>
    <row r="103" spans="2:16" ht="14.25" customHeight="1">
      <c r="B103" s="5"/>
      <c r="C103" s="5"/>
      <c r="D103" s="5"/>
      <c r="E103" s="5"/>
      <c r="F103" s="5"/>
      <c r="G103" s="5"/>
      <c r="H103" s="5"/>
      <c r="M103" s="5"/>
      <c r="N103" s="5"/>
      <c r="P103" s="5"/>
    </row>
    <row r="104" spans="2:16" ht="14.25" customHeight="1">
      <c r="B104" s="5"/>
      <c r="C104" s="5"/>
      <c r="D104" s="5"/>
      <c r="E104" s="5"/>
      <c r="F104" s="5"/>
      <c r="G104" s="5"/>
      <c r="H104" s="5"/>
      <c r="M104" s="5"/>
      <c r="N104" s="5"/>
      <c r="P104" s="5"/>
    </row>
    <row r="105" spans="2:16" ht="14.25" customHeight="1">
      <c r="B105" s="5"/>
      <c r="C105" s="5"/>
      <c r="D105" s="5"/>
      <c r="E105" s="5"/>
      <c r="F105" s="5"/>
      <c r="G105" s="5"/>
      <c r="H105" s="5"/>
      <c r="M105" s="5"/>
      <c r="N105" s="5"/>
      <c r="P105" s="5"/>
    </row>
    <row r="106" spans="2:16" ht="14.25" customHeight="1">
      <c r="B106" s="5"/>
      <c r="C106" s="5"/>
      <c r="D106" s="5"/>
      <c r="E106" s="5"/>
      <c r="F106" s="5"/>
      <c r="G106" s="5"/>
      <c r="H106" s="5"/>
      <c r="M106" s="5"/>
      <c r="N106" s="5"/>
      <c r="P106" s="5"/>
    </row>
    <row r="107" spans="2:16" ht="14.25" customHeight="1">
      <c r="B107" s="5"/>
      <c r="C107" s="5"/>
      <c r="D107" s="5"/>
      <c r="E107" s="5"/>
      <c r="F107" s="5"/>
      <c r="G107" s="5"/>
      <c r="H107" s="5"/>
      <c r="M107" s="5"/>
      <c r="N107" s="5"/>
      <c r="P107" s="5"/>
    </row>
    <row r="108" spans="2:16" ht="14.25" customHeight="1">
      <c r="B108" s="5"/>
      <c r="C108" s="5"/>
      <c r="D108" s="5"/>
      <c r="E108" s="5"/>
      <c r="F108" s="5"/>
      <c r="G108" s="5"/>
      <c r="H108" s="5"/>
      <c r="M108" s="5"/>
      <c r="N108" s="5"/>
      <c r="P108" s="5"/>
    </row>
    <row r="109" spans="2:16" ht="14.25" customHeight="1">
      <c r="B109" s="5"/>
      <c r="C109" s="5"/>
      <c r="D109" s="5"/>
      <c r="E109" s="5"/>
      <c r="F109" s="5"/>
      <c r="G109" s="5"/>
      <c r="H109" s="5"/>
      <c r="M109" s="5"/>
      <c r="N109" s="5"/>
      <c r="P109" s="5"/>
    </row>
    <row r="110" spans="2:16" ht="14.25" customHeight="1">
      <c r="B110" s="5"/>
      <c r="C110" s="5"/>
      <c r="D110" s="5"/>
      <c r="E110" s="5"/>
      <c r="F110" s="5"/>
      <c r="G110" s="5"/>
      <c r="H110" s="5"/>
      <c r="M110" s="5"/>
      <c r="N110" s="5"/>
      <c r="P110" s="5"/>
    </row>
    <row r="111" spans="2:16" ht="14.25" customHeight="1">
      <c r="B111" s="5"/>
      <c r="C111" s="5"/>
      <c r="D111" s="5"/>
      <c r="E111" s="5"/>
      <c r="F111" s="5"/>
      <c r="G111" s="5"/>
      <c r="H111" s="5"/>
      <c r="M111" s="5"/>
      <c r="N111" s="5"/>
      <c r="P111" s="5"/>
    </row>
    <row r="112" spans="2:16" ht="14.25" customHeight="1">
      <c r="B112" s="5"/>
      <c r="C112" s="5"/>
      <c r="D112" s="5"/>
      <c r="E112" s="5"/>
      <c r="F112" s="5"/>
      <c r="G112" s="5"/>
      <c r="H112" s="5"/>
      <c r="M112" s="5"/>
      <c r="N112" s="5"/>
      <c r="P112" s="5"/>
    </row>
    <row r="113" spans="2:16" ht="14.25" customHeight="1">
      <c r="B113" s="5"/>
      <c r="C113" s="5"/>
      <c r="D113" s="5"/>
      <c r="E113" s="5"/>
      <c r="F113" s="5"/>
      <c r="G113" s="5"/>
      <c r="H113" s="5"/>
      <c r="M113" s="5"/>
      <c r="N113" s="5"/>
      <c r="P113" s="5"/>
    </row>
    <row r="114" spans="2:16" ht="14.25" customHeight="1">
      <c r="B114" s="5"/>
      <c r="C114" s="5"/>
      <c r="D114" s="5"/>
      <c r="E114" s="5"/>
      <c r="F114" s="5"/>
      <c r="G114" s="5"/>
      <c r="H114" s="5"/>
      <c r="M114" s="5"/>
      <c r="N114" s="5"/>
      <c r="P114" s="5"/>
    </row>
    <row r="115" spans="2:16" ht="14.25" customHeight="1">
      <c r="B115" s="5"/>
      <c r="C115" s="5"/>
      <c r="D115" s="5"/>
      <c r="E115" s="5"/>
      <c r="F115" s="5"/>
      <c r="G115" s="5"/>
      <c r="H115" s="5"/>
      <c r="M115" s="5"/>
      <c r="N115" s="5"/>
      <c r="P115" s="5"/>
    </row>
    <row r="116" spans="2:16" ht="14.25" customHeight="1">
      <c r="B116" s="5"/>
      <c r="C116" s="5"/>
      <c r="D116" s="5"/>
      <c r="E116" s="5"/>
      <c r="F116" s="5"/>
      <c r="G116" s="5"/>
      <c r="H116" s="5"/>
      <c r="M116" s="5"/>
      <c r="N116" s="5"/>
      <c r="P116" s="5"/>
    </row>
    <row r="117" spans="2:16" ht="14.25" customHeight="1">
      <c r="B117" s="5"/>
      <c r="C117" s="5"/>
      <c r="D117" s="5"/>
      <c r="E117" s="5"/>
      <c r="F117" s="5"/>
      <c r="G117" s="5"/>
      <c r="H117" s="5"/>
      <c r="M117" s="5"/>
      <c r="N117" s="5"/>
      <c r="P117" s="5"/>
    </row>
    <row r="118" spans="2:16" ht="14.25" customHeight="1">
      <c r="B118" s="5"/>
      <c r="C118" s="5"/>
      <c r="D118" s="5"/>
      <c r="E118" s="5"/>
      <c r="F118" s="5"/>
      <c r="G118" s="5"/>
      <c r="H118" s="5"/>
      <c r="M118" s="5"/>
      <c r="N118" s="5"/>
      <c r="P118" s="5"/>
    </row>
    <row r="119" spans="2:16" ht="14.25" customHeight="1">
      <c r="B119" s="5"/>
      <c r="C119" s="5"/>
      <c r="D119" s="5"/>
      <c r="E119" s="5"/>
      <c r="F119" s="5"/>
      <c r="G119" s="5"/>
      <c r="H119" s="5"/>
      <c r="M119" s="5"/>
      <c r="N119" s="5"/>
      <c r="P119" s="5"/>
    </row>
    <row r="120" spans="2:16" ht="14.25" customHeight="1">
      <c r="B120" s="5"/>
      <c r="C120" s="5"/>
      <c r="D120" s="5"/>
      <c r="E120" s="5"/>
      <c r="F120" s="5"/>
      <c r="G120" s="5"/>
      <c r="H120" s="5"/>
      <c r="M120" s="5"/>
      <c r="N120" s="5"/>
      <c r="P120" s="5"/>
    </row>
    <row r="121" spans="2:16" ht="14.25" customHeight="1">
      <c r="B121" s="5"/>
      <c r="C121" s="5"/>
      <c r="D121" s="5"/>
      <c r="E121" s="5"/>
      <c r="F121" s="5"/>
      <c r="G121" s="5"/>
      <c r="H121" s="5"/>
      <c r="M121" s="5"/>
      <c r="N121" s="5"/>
      <c r="P121" s="5"/>
    </row>
    <row r="122" spans="2:16" ht="14.25" customHeight="1">
      <c r="B122" s="5"/>
      <c r="C122" s="5"/>
      <c r="D122" s="5"/>
      <c r="E122" s="5"/>
      <c r="F122" s="5"/>
      <c r="G122" s="5"/>
      <c r="H122" s="5"/>
      <c r="M122" s="5"/>
      <c r="N122" s="5"/>
      <c r="P122" s="5"/>
    </row>
    <row r="123" spans="2:16" ht="14.25" customHeight="1">
      <c r="B123" s="5"/>
      <c r="C123" s="5"/>
      <c r="D123" s="5"/>
      <c r="E123" s="5"/>
      <c r="F123" s="5"/>
      <c r="G123" s="5"/>
      <c r="H123" s="5"/>
      <c r="M123" s="5"/>
      <c r="N123" s="5"/>
      <c r="P123" s="5"/>
    </row>
    <row r="124" spans="2:16" ht="14.25" customHeight="1">
      <c r="B124" s="5"/>
      <c r="C124" s="5"/>
      <c r="D124" s="5"/>
      <c r="E124" s="5"/>
      <c r="F124" s="5"/>
      <c r="G124" s="5"/>
      <c r="H124" s="5"/>
      <c r="M124" s="5"/>
      <c r="N124" s="5"/>
      <c r="P124" s="5"/>
    </row>
    <row r="125" spans="2:16" ht="14.25" customHeight="1">
      <c r="B125" s="5"/>
      <c r="C125" s="5"/>
      <c r="D125" s="5"/>
      <c r="E125" s="5"/>
      <c r="F125" s="5"/>
      <c r="G125" s="5"/>
      <c r="H125" s="5"/>
      <c r="M125" s="5"/>
      <c r="N125" s="5"/>
      <c r="P125" s="5"/>
    </row>
    <row r="126" spans="2:16" ht="14.25" customHeight="1">
      <c r="B126" s="5"/>
      <c r="C126" s="5"/>
      <c r="D126" s="5"/>
      <c r="E126" s="5"/>
      <c r="F126" s="5"/>
      <c r="G126" s="5"/>
      <c r="H126" s="5"/>
      <c r="M126" s="5"/>
      <c r="N126" s="5"/>
      <c r="P126" s="5"/>
    </row>
    <row r="127" spans="2:16" ht="14.25" customHeight="1">
      <c r="B127" s="5"/>
      <c r="C127" s="5"/>
      <c r="D127" s="5"/>
      <c r="E127" s="5"/>
      <c r="F127" s="5"/>
      <c r="G127" s="5"/>
      <c r="H127" s="5"/>
      <c r="M127" s="5"/>
      <c r="N127" s="5"/>
      <c r="P127" s="5"/>
    </row>
    <row r="128" spans="2:16" ht="14.25" customHeight="1">
      <c r="B128" s="5"/>
      <c r="C128" s="5"/>
      <c r="D128" s="5"/>
      <c r="E128" s="5"/>
      <c r="F128" s="5"/>
      <c r="G128" s="5"/>
      <c r="H128" s="5"/>
      <c r="M128" s="5"/>
      <c r="N128" s="5"/>
      <c r="P128" s="5"/>
    </row>
    <row r="129" spans="2:16" ht="14.25" customHeight="1">
      <c r="B129" s="5"/>
      <c r="C129" s="5"/>
      <c r="D129" s="5"/>
      <c r="E129" s="5"/>
      <c r="F129" s="5"/>
      <c r="G129" s="5"/>
      <c r="H129" s="5"/>
      <c r="M129" s="5"/>
      <c r="N129" s="5"/>
      <c r="P129" s="5"/>
    </row>
    <row r="130" spans="2:16" ht="14.25" customHeight="1">
      <c r="B130" s="5"/>
      <c r="C130" s="5"/>
      <c r="D130" s="5"/>
      <c r="E130" s="5"/>
      <c r="F130" s="5"/>
      <c r="G130" s="5"/>
      <c r="H130" s="5"/>
      <c r="M130" s="5"/>
      <c r="N130" s="5"/>
      <c r="P130" s="5"/>
    </row>
    <row r="131" spans="2:16" ht="14.25" customHeight="1">
      <c r="B131" s="5"/>
      <c r="C131" s="5"/>
      <c r="D131" s="5"/>
      <c r="E131" s="5"/>
      <c r="F131" s="5"/>
      <c r="G131" s="5"/>
      <c r="H131" s="5"/>
      <c r="M131" s="5"/>
      <c r="N131" s="5"/>
      <c r="P131" s="5"/>
    </row>
    <row r="132" spans="2:16" ht="14.25" customHeight="1">
      <c r="B132" s="5"/>
      <c r="C132" s="5"/>
      <c r="D132" s="5"/>
      <c r="E132" s="5"/>
      <c r="F132" s="5"/>
      <c r="G132" s="5"/>
      <c r="H132" s="5"/>
      <c r="M132" s="5"/>
      <c r="N132" s="5"/>
      <c r="P132" s="5"/>
    </row>
    <row r="133" spans="2:16" ht="14.25" customHeight="1">
      <c r="B133" s="5"/>
      <c r="C133" s="5"/>
      <c r="D133" s="5"/>
      <c r="E133" s="5"/>
      <c r="F133" s="5"/>
      <c r="G133" s="5"/>
      <c r="H133" s="5"/>
      <c r="M133" s="5"/>
      <c r="N133" s="5"/>
      <c r="P133" s="5"/>
    </row>
    <row r="134" spans="2:16" ht="14.25" customHeight="1">
      <c r="B134" s="5"/>
      <c r="C134" s="5"/>
      <c r="D134" s="5"/>
      <c r="E134" s="5"/>
      <c r="F134" s="5"/>
      <c r="G134" s="5"/>
      <c r="H134" s="5"/>
      <c r="M134" s="5"/>
      <c r="N134" s="5"/>
      <c r="P134" s="5"/>
    </row>
    <row r="135" spans="2:16" ht="14.25" customHeight="1">
      <c r="B135" s="5"/>
      <c r="C135" s="5"/>
      <c r="D135" s="5"/>
      <c r="E135" s="5"/>
      <c r="F135" s="5"/>
      <c r="G135" s="5"/>
      <c r="H135" s="5"/>
      <c r="M135" s="5"/>
      <c r="N135" s="5"/>
      <c r="P135" s="5"/>
    </row>
    <row r="136" spans="2:16" ht="14.25" customHeight="1">
      <c r="B136" s="5"/>
      <c r="C136" s="5"/>
      <c r="D136" s="5"/>
      <c r="E136" s="5"/>
      <c r="F136" s="5"/>
      <c r="G136" s="5"/>
      <c r="H136" s="5"/>
      <c r="M136" s="5"/>
      <c r="N136" s="5"/>
      <c r="P136" s="5"/>
    </row>
    <row r="137" spans="2:16" ht="14.25" customHeight="1">
      <c r="B137" s="5"/>
      <c r="C137" s="5"/>
      <c r="D137" s="5"/>
      <c r="E137" s="5"/>
      <c r="F137" s="5"/>
      <c r="G137" s="5"/>
      <c r="H137" s="5"/>
      <c r="M137" s="5"/>
      <c r="N137" s="5"/>
      <c r="P137" s="5"/>
    </row>
    <row r="138" spans="2:16" ht="14.25" customHeight="1">
      <c r="B138" s="5"/>
      <c r="C138" s="5"/>
      <c r="D138" s="5"/>
      <c r="E138" s="5"/>
      <c r="F138" s="5"/>
      <c r="G138" s="5"/>
      <c r="H138" s="5"/>
      <c r="M138" s="5"/>
      <c r="N138" s="5"/>
      <c r="P138" s="5"/>
    </row>
    <row r="139" spans="2:16" ht="14.25" customHeight="1">
      <c r="B139" s="5"/>
      <c r="C139" s="5"/>
      <c r="D139" s="5"/>
      <c r="E139" s="5"/>
      <c r="F139" s="5"/>
      <c r="G139" s="5"/>
      <c r="H139" s="5"/>
      <c r="M139" s="5"/>
      <c r="N139" s="5"/>
      <c r="P139" s="5"/>
    </row>
    <row r="140" spans="2:16" ht="14.25" customHeight="1">
      <c r="B140" s="5"/>
      <c r="C140" s="5"/>
      <c r="D140" s="5"/>
      <c r="E140" s="5"/>
      <c r="F140" s="5"/>
      <c r="G140" s="5"/>
      <c r="H140" s="5"/>
      <c r="M140" s="5"/>
      <c r="N140" s="5"/>
      <c r="P140" s="5"/>
    </row>
    <row r="141" spans="2:16" ht="14.25" customHeight="1">
      <c r="B141" s="5"/>
      <c r="C141" s="5"/>
      <c r="D141" s="5"/>
      <c r="E141" s="5"/>
      <c r="F141" s="5"/>
      <c r="G141" s="5"/>
      <c r="H141" s="5"/>
      <c r="M141" s="5"/>
      <c r="N141" s="5"/>
      <c r="P141" s="5"/>
    </row>
    <row r="142" spans="2:16" ht="14.25" customHeight="1">
      <c r="B142" s="5"/>
      <c r="C142" s="5"/>
      <c r="D142" s="5"/>
      <c r="E142" s="5"/>
      <c r="F142" s="5"/>
      <c r="G142" s="5"/>
      <c r="H142" s="5"/>
      <c r="M142" s="5"/>
      <c r="N142" s="5"/>
      <c r="P142" s="5"/>
    </row>
    <row r="143" spans="2:16" ht="14.25" customHeight="1">
      <c r="B143" s="5"/>
      <c r="C143" s="5"/>
      <c r="D143" s="5"/>
      <c r="E143" s="5"/>
      <c r="F143" s="5"/>
      <c r="G143" s="5"/>
      <c r="H143" s="5"/>
      <c r="M143" s="5"/>
      <c r="N143" s="5"/>
      <c r="P143" s="5"/>
    </row>
    <row r="144" spans="2:16" ht="14.25" customHeight="1">
      <c r="B144" s="5"/>
      <c r="C144" s="5"/>
      <c r="D144" s="5"/>
      <c r="E144" s="5"/>
      <c r="F144" s="5"/>
      <c r="G144" s="5"/>
      <c r="H144" s="5"/>
      <c r="M144" s="5"/>
      <c r="N144" s="5"/>
      <c r="P144" s="5"/>
    </row>
    <row r="145" spans="2:16" ht="14.25" customHeight="1">
      <c r="B145" s="5"/>
      <c r="C145" s="5"/>
      <c r="D145" s="5"/>
      <c r="E145" s="5"/>
      <c r="F145" s="5"/>
      <c r="G145" s="5"/>
      <c r="H145" s="5"/>
      <c r="M145" s="5"/>
      <c r="N145" s="5"/>
      <c r="P145" s="5"/>
    </row>
    <row r="146" spans="2:16" ht="14.25" customHeight="1">
      <c r="B146" s="5"/>
      <c r="C146" s="5"/>
      <c r="D146" s="5"/>
      <c r="E146" s="5"/>
      <c r="F146" s="5"/>
      <c r="G146" s="5"/>
      <c r="H146" s="5"/>
      <c r="M146" s="5"/>
      <c r="N146" s="5"/>
      <c r="P146" s="5"/>
    </row>
    <row r="147" spans="2:16" ht="14.25" customHeight="1">
      <c r="B147" s="5"/>
      <c r="C147" s="5"/>
      <c r="D147" s="5"/>
      <c r="E147" s="5"/>
      <c r="F147" s="5"/>
      <c r="G147" s="5"/>
      <c r="H147" s="5"/>
      <c r="M147" s="5"/>
      <c r="N147" s="5"/>
      <c r="P147" s="5"/>
    </row>
    <row r="148" spans="2:16" ht="14.25" customHeight="1">
      <c r="B148" s="5"/>
      <c r="C148" s="5"/>
      <c r="D148" s="5"/>
      <c r="E148" s="5"/>
      <c r="F148" s="5"/>
      <c r="G148" s="5"/>
      <c r="H148" s="5"/>
      <c r="M148" s="5"/>
      <c r="N148" s="5"/>
      <c r="P148" s="5"/>
    </row>
    <row r="149" spans="2:16" ht="14.25" customHeight="1">
      <c r="B149" s="5"/>
      <c r="C149" s="5"/>
      <c r="D149" s="5"/>
      <c r="E149" s="5"/>
      <c r="F149" s="5"/>
      <c r="G149" s="5"/>
      <c r="H149" s="5"/>
      <c r="M149" s="5"/>
      <c r="N149" s="5"/>
      <c r="P149" s="5"/>
    </row>
    <row r="150" spans="2:16" ht="14.25" customHeight="1">
      <c r="B150" s="5"/>
      <c r="C150" s="5"/>
      <c r="D150" s="5"/>
      <c r="E150" s="5"/>
      <c r="F150" s="5"/>
      <c r="G150" s="5"/>
      <c r="H150" s="5"/>
      <c r="M150" s="5"/>
      <c r="N150" s="5"/>
      <c r="P150" s="5"/>
    </row>
    <row r="151" spans="2:16" ht="14.25" customHeight="1">
      <c r="B151" s="5"/>
      <c r="C151" s="5"/>
      <c r="D151" s="5"/>
      <c r="E151" s="5"/>
      <c r="F151" s="5"/>
      <c r="G151" s="5"/>
      <c r="H151" s="5"/>
      <c r="M151" s="5"/>
      <c r="N151" s="5"/>
      <c r="P151" s="5"/>
    </row>
    <row r="152" spans="2:16" ht="14.25" customHeight="1">
      <c r="B152" s="5"/>
      <c r="C152" s="5"/>
      <c r="D152" s="5"/>
      <c r="E152" s="5"/>
      <c r="F152" s="5"/>
      <c r="G152" s="5"/>
      <c r="H152" s="5"/>
      <c r="M152" s="5"/>
      <c r="N152" s="5"/>
      <c r="P152" s="5"/>
    </row>
    <row r="153" spans="2:16" ht="14.25" customHeight="1">
      <c r="B153" s="5"/>
      <c r="C153" s="5"/>
      <c r="D153" s="5"/>
      <c r="E153" s="5"/>
      <c r="F153" s="5"/>
      <c r="G153" s="5"/>
      <c r="H153" s="5"/>
      <c r="M153" s="5"/>
      <c r="N153" s="5"/>
      <c r="P153" s="5"/>
    </row>
    <row r="154" spans="2:16" ht="14.25" customHeight="1">
      <c r="B154" s="5"/>
      <c r="C154" s="5"/>
      <c r="D154" s="5"/>
      <c r="E154" s="5"/>
      <c r="F154" s="5"/>
      <c r="G154" s="5"/>
      <c r="H154" s="5"/>
      <c r="M154" s="5"/>
      <c r="N154" s="5"/>
      <c r="P154" s="5"/>
    </row>
    <row r="155" spans="2:16" ht="14.25" customHeight="1">
      <c r="B155" s="5"/>
      <c r="C155" s="5"/>
      <c r="D155" s="5"/>
      <c r="E155" s="5"/>
      <c r="F155" s="5"/>
      <c r="G155" s="5"/>
      <c r="H155" s="5"/>
      <c r="M155" s="5"/>
      <c r="N155" s="5"/>
      <c r="P155" s="5"/>
    </row>
    <row r="156" spans="2:16" ht="14.25" customHeight="1">
      <c r="B156" s="5"/>
      <c r="C156" s="5"/>
      <c r="D156" s="5"/>
      <c r="E156" s="5"/>
      <c r="F156" s="5"/>
      <c r="G156" s="5"/>
      <c r="H156" s="5"/>
      <c r="M156" s="5"/>
      <c r="N156" s="5"/>
      <c r="P156" s="5"/>
    </row>
    <row r="157" spans="2:16" ht="14.25" customHeight="1">
      <c r="B157" s="5"/>
      <c r="C157" s="5"/>
      <c r="D157" s="5"/>
      <c r="E157" s="5"/>
      <c r="F157" s="5"/>
      <c r="G157" s="5"/>
      <c r="H157" s="5"/>
      <c r="M157" s="5"/>
      <c r="N157" s="5"/>
      <c r="P157" s="5"/>
    </row>
    <row r="158" spans="2:16" ht="14.25" customHeight="1">
      <c r="B158" s="5"/>
      <c r="C158" s="5"/>
      <c r="D158" s="5"/>
      <c r="E158" s="5"/>
      <c r="F158" s="5"/>
      <c r="G158" s="5"/>
      <c r="H158" s="5"/>
      <c r="M158" s="5"/>
      <c r="N158" s="5"/>
      <c r="P158" s="5"/>
    </row>
    <row r="159" spans="2:16" ht="14.25" customHeight="1">
      <c r="B159" s="5"/>
      <c r="C159" s="5"/>
      <c r="D159" s="5"/>
      <c r="E159" s="5"/>
      <c r="F159" s="5"/>
      <c r="G159" s="5"/>
      <c r="H159" s="5"/>
      <c r="M159" s="5"/>
      <c r="N159" s="5"/>
      <c r="P159" s="5"/>
    </row>
    <row r="160" spans="2:16" ht="14.25" customHeight="1">
      <c r="B160" s="5"/>
      <c r="C160" s="5"/>
      <c r="D160" s="5"/>
      <c r="E160" s="5"/>
      <c r="F160" s="5"/>
      <c r="G160" s="5"/>
      <c r="H160" s="5"/>
      <c r="M160" s="5"/>
      <c r="N160" s="5"/>
      <c r="P160" s="5"/>
    </row>
    <row r="161" spans="2:16" ht="14.25" customHeight="1">
      <c r="B161" s="5"/>
      <c r="C161" s="5"/>
      <c r="D161" s="5"/>
      <c r="E161" s="5"/>
      <c r="F161" s="5"/>
      <c r="G161" s="5"/>
      <c r="H161" s="5"/>
      <c r="M161" s="5"/>
      <c r="N161" s="5"/>
      <c r="P161" s="5"/>
    </row>
    <row r="162" spans="2:16" ht="14.25" customHeight="1">
      <c r="B162" s="5"/>
      <c r="C162" s="5"/>
      <c r="D162" s="5"/>
      <c r="E162" s="5"/>
      <c r="F162" s="5"/>
      <c r="G162" s="5"/>
      <c r="H162" s="5"/>
      <c r="M162" s="5"/>
      <c r="N162" s="5"/>
      <c r="P162" s="5"/>
    </row>
    <row r="163" spans="2:16" ht="14.25" customHeight="1">
      <c r="B163" s="5"/>
      <c r="C163" s="5"/>
      <c r="D163" s="5"/>
      <c r="E163" s="5"/>
      <c r="F163" s="5"/>
      <c r="G163" s="5"/>
      <c r="H163" s="5"/>
      <c r="M163" s="5"/>
      <c r="N163" s="5"/>
      <c r="P163" s="5"/>
    </row>
    <row r="164" spans="2:16" ht="14.25" customHeight="1">
      <c r="B164" s="5"/>
      <c r="C164" s="5"/>
      <c r="D164" s="5"/>
      <c r="E164" s="5"/>
      <c r="F164" s="5"/>
      <c r="G164" s="5"/>
      <c r="H164" s="5"/>
      <c r="M164" s="5"/>
      <c r="N164" s="5"/>
      <c r="P164" s="5"/>
    </row>
    <row r="165" spans="2:16" ht="14.25" customHeight="1">
      <c r="B165" s="5"/>
      <c r="C165" s="5"/>
      <c r="D165" s="5"/>
      <c r="E165" s="5"/>
      <c r="F165" s="5"/>
      <c r="G165" s="5"/>
      <c r="H165" s="5"/>
      <c r="M165" s="5"/>
      <c r="N165" s="5"/>
      <c r="P165" s="5"/>
    </row>
    <row r="166" spans="2:16" ht="14.25" customHeight="1">
      <c r="B166" s="5"/>
      <c r="C166" s="5"/>
      <c r="D166" s="5"/>
      <c r="E166" s="5"/>
      <c r="F166" s="5"/>
      <c r="G166" s="5"/>
      <c r="H166" s="5"/>
      <c r="M166" s="5"/>
      <c r="N166" s="5"/>
      <c r="P166" s="5"/>
    </row>
    <row r="167" spans="2:16" ht="14.25" customHeight="1">
      <c r="B167" s="5"/>
      <c r="C167" s="5"/>
      <c r="D167" s="5"/>
      <c r="E167" s="5"/>
      <c r="F167" s="5"/>
      <c r="G167" s="5"/>
      <c r="H167" s="5"/>
      <c r="M167" s="5"/>
      <c r="N167" s="5"/>
      <c r="P167" s="5"/>
    </row>
    <row r="168" spans="2:16" ht="14.25" customHeight="1">
      <c r="B168" s="5"/>
      <c r="C168" s="5"/>
      <c r="D168" s="5"/>
      <c r="E168" s="5"/>
      <c r="F168" s="5"/>
      <c r="G168" s="5"/>
      <c r="H168" s="5"/>
      <c r="M168" s="5"/>
      <c r="N168" s="5"/>
      <c r="P168" s="5"/>
    </row>
    <row r="169" spans="2:16" ht="14.25" customHeight="1">
      <c r="B169" s="5"/>
      <c r="C169" s="5"/>
      <c r="D169" s="5"/>
      <c r="E169" s="5"/>
      <c r="F169" s="5"/>
      <c r="G169" s="5"/>
      <c r="H169" s="5"/>
      <c r="M169" s="5"/>
      <c r="N169" s="5"/>
      <c r="P169" s="5"/>
    </row>
    <row r="170" spans="2:16" ht="14.25" customHeight="1">
      <c r="B170" s="5"/>
      <c r="C170" s="5"/>
      <c r="D170" s="5"/>
      <c r="E170" s="5"/>
      <c r="F170" s="5"/>
      <c r="G170" s="5"/>
      <c r="H170" s="5"/>
      <c r="M170" s="5"/>
      <c r="N170" s="5"/>
      <c r="P170" s="5"/>
    </row>
    <row r="171" spans="2:16" ht="14.25" customHeight="1">
      <c r="B171" s="5"/>
      <c r="C171" s="5"/>
      <c r="D171" s="5"/>
      <c r="E171" s="5"/>
      <c r="F171" s="5"/>
      <c r="G171" s="5"/>
      <c r="H171" s="5"/>
      <c r="M171" s="5"/>
      <c r="N171" s="5"/>
      <c r="P171" s="5"/>
    </row>
    <row r="172" spans="2:16" ht="14.25" customHeight="1">
      <c r="B172" s="5"/>
      <c r="C172" s="5"/>
      <c r="D172" s="5"/>
      <c r="E172" s="5"/>
      <c r="F172" s="5"/>
      <c r="G172" s="5"/>
      <c r="H172" s="5"/>
      <c r="M172" s="5"/>
      <c r="N172" s="5"/>
      <c r="P172" s="5"/>
    </row>
    <row r="173" spans="2:16" ht="14.25" customHeight="1">
      <c r="B173" s="5"/>
      <c r="C173" s="5"/>
      <c r="D173" s="5"/>
      <c r="E173" s="5"/>
      <c r="F173" s="5"/>
      <c r="G173" s="5"/>
      <c r="H173" s="5"/>
      <c r="M173" s="5"/>
      <c r="N173" s="5"/>
      <c r="P173" s="5"/>
    </row>
    <row r="174" spans="2:16" ht="14.25" customHeight="1">
      <c r="B174" s="5"/>
      <c r="C174" s="5"/>
      <c r="D174" s="5"/>
      <c r="E174" s="5"/>
      <c r="F174" s="5"/>
      <c r="G174" s="5"/>
      <c r="H174" s="5"/>
      <c r="M174" s="5"/>
      <c r="N174" s="5"/>
      <c r="P174" s="5"/>
    </row>
    <row r="175" spans="2:16" ht="14.25" customHeight="1">
      <c r="B175" s="5"/>
      <c r="C175" s="5"/>
      <c r="D175" s="5"/>
      <c r="E175" s="5"/>
      <c r="F175" s="5"/>
      <c r="G175" s="5"/>
      <c r="H175" s="5"/>
      <c r="M175" s="5"/>
      <c r="N175" s="5"/>
      <c r="P175" s="5"/>
    </row>
    <row r="176" spans="2:16" ht="14.25" customHeight="1">
      <c r="B176" s="5"/>
      <c r="C176" s="5"/>
      <c r="D176" s="5"/>
      <c r="E176" s="5"/>
      <c r="F176" s="5"/>
      <c r="G176" s="5"/>
      <c r="H176" s="5"/>
      <c r="M176" s="5"/>
      <c r="N176" s="5"/>
      <c r="P176" s="5"/>
    </row>
    <row r="177" spans="2:16" ht="14.25" customHeight="1">
      <c r="B177" s="5"/>
      <c r="C177" s="5"/>
      <c r="D177" s="5"/>
      <c r="E177" s="5"/>
      <c r="F177" s="5"/>
      <c r="G177" s="5"/>
      <c r="H177" s="5"/>
      <c r="M177" s="5"/>
      <c r="N177" s="5"/>
      <c r="P177" s="5"/>
    </row>
    <row r="178" spans="2:16" ht="14.25" customHeight="1">
      <c r="B178" s="5"/>
      <c r="C178" s="5"/>
      <c r="D178" s="5"/>
      <c r="E178" s="5"/>
      <c r="F178" s="5"/>
      <c r="G178" s="5"/>
      <c r="H178" s="5"/>
      <c r="M178" s="5"/>
      <c r="N178" s="5"/>
      <c r="P178" s="5"/>
    </row>
    <row r="179" spans="2:16" ht="14.25" customHeight="1">
      <c r="B179" s="5"/>
      <c r="C179" s="5"/>
      <c r="D179" s="5"/>
      <c r="E179" s="5"/>
      <c r="F179" s="5"/>
      <c r="G179" s="5"/>
      <c r="H179" s="5"/>
      <c r="M179" s="5"/>
      <c r="N179" s="5"/>
      <c r="P179" s="5"/>
    </row>
    <row r="180" spans="2:16" ht="14.25" customHeight="1">
      <c r="B180" s="5"/>
      <c r="C180" s="5"/>
      <c r="D180" s="5"/>
      <c r="E180" s="5"/>
      <c r="F180" s="5"/>
      <c r="G180" s="5"/>
      <c r="H180" s="5"/>
      <c r="M180" s="5"/>
      <c r="N180" s="5"/>
      <c r="P180" s="5"/>
    </row>
    <row r="181" spans="2:16" ht="14.25" customHeight="1">
      <c r="B181" s="5"/>
      <c r="C181" s="5"/>
      <c r="D181" s="5"/>
      <c r="E181" s="5"/>
      <c r="F181" s="5"/>
      <c r="G181" s="5"/>
      <c r="H181" s="5"/>
      <c r="M181" s="5"/>
      <c r="N181" s="5"/>
      <c r="P181" s="5"/>
    </row>
    <row r="182" spans="2:16" ht="14.25" customHeight="1">
      <c r="B182" s="5"/>
      <c r="C182" s="5"/>
      <c r="D182" s="5"/>
      <c r="E182" s="5"/>
      <c r="F182" s="5"/>
      <c r="G182" s="5"/>
      <c r="H182" s="5"/>
      <c r="M182" s="5"/>
      <c r="N182" s="5"/>
      <c r="P182" s="5"/>
    </row>
    <row r="183" spans="2:16" ht="14.25" customHeight="1">
      <c r="B183" s="5"/>
      <c r="C183" s="5"/>
      <c r="D183" s="5"/>
      <c r="E183" s="5"/>
      <c r="F183" s="5"/>
      <c r="G183" s="5"/>
      <c r="H183" s="5"/>
      <c r="M183" s="5"/>
      <c r="N183" s="5"/>
      <c r="P183" s="5"/>
    </row>
    <row r="184" spans="2:16" ht="14.25" customHeight="1">
      <c r="B184" s="5"/>
      <c r="C184" s="5"/>
      <c r="D184" s="5"/>
      <c r="E184" s="5"/>
      <c r="F184" s="5"/>
      <c r="G184" s="5"/>
      <c r="H184" s="5"/>
      <c r="M184" s="5"/>
      <c r="N184" s="5"/>
      <c r="P184" s="5"/>
    </row>
    <row r="185" spans="2:16" ht="14.25" customHeight="1">
      <c r="B185" s="5"/>
      <c r="C185" s="5"/>
      <c r="D185" s="5"/>
      <c r="E185" s="5"/>
      <c r="F185" s="5"/>
      <c r="G185" s="5"/>
      <c r="H185" s="5"/>
      <c r="M185" s="5"/>
      <c r="N185" s="5"/>
      <c r="P185" s="5"/>
    </row>
    <row r="186" spans="2:16" ht="14.25" customHeight="1">
      <c r="B186" s="5"/>
      <c r="C186" s="5"/>
      <c r="D186" s="5"/>
      <c r="E186" s="5"/>
      <c r="F186" s="5"/>
      <c r="G186" s="5"/>
      <c r="H186" s="5"/>
      <c r="M186" s="5"/>
      <c r="N186" s="5"/>
      <c r="P186" s="5"/>
    </row>
    <row r="187" spans="2:16" ht="14.25" customHeight="1">
      <c r="B187" s="5"/>
      <c r="C187" s="5"/>
      <c r="D187" s="5"/>
      <c r="E187" s="5"/>
      <c r="F187" s="5"/>
      <c r="G187" s="5"/>
      <c r="H187" s="5"/>
      <c r="M187" s="5"/>
      <c r="N187" s="5"/>
      <c r="P187" s="5"/>
    </row>
    <row r="188" spans="2:16" ht="14.25" customHeight="1">
      <c r="B188" s="5"/>
      <c r="C188" s="5"/>
      <c r="D188" s="5"/>
      <c r="E188" s="5"/>
      <c r="F188" s="5"/>
      <c r="G188" s="5"/>
      <c r="H188" s="5"/>
      <c r="M188" s="5"/>
      <c r="N188" s="5"/>
      <c r="P188" s="5"/>
    </row>
    <row r="189" spans="2:16" ht="14.25" customHeight="1">
      <c r="B189" s="5"/>
      <c r="C189" s="5"/>
      <c r="D189" s="5"/>
      <c r="E189" s="5"/>
      <c r="F189" s="5"/>
      <c r="G189" s="5"/>
      <c r="H189" s="5"/>
      <c r="M189" s="5"/>
      <c r="N189" s="5"/>
      <c r="P189" s="5"/>
    </row>
    <row r="190" spans="2:16" ht="14.25" customHeight="1">
      <c r="B190" s="5"/>
      <c r="C190" s="5"/>
      <c r="D190" s="5"/>
      <c r="E190" s="5"/>
      <c r="F190" s="5"/>
      <c r="G190" s="5"/>
      <c r="H190" s="5"/>
      <c r="M190" s="5"/>
      <c r="N190" s="5"/>
      <c r="P190" s="5"/>
    </row>
    <row r="191" spans="2:16" ht="14.25" customHeight="1">
      <c r="B191" s="5"/>
      <c r="C191" s="5"/>
      <c r="D191" s="5"/>
      <c r="E191" s="5"/>
      <c r="F191" s="5"/>
      <c r="G191" s="5"/>
      <c r="H191" s="5"/>
      <c r="M191" s="5"/>
      <c r="N191" s="5"/>
      <c r="P191" s="5"/>
    </row>
    <row r="192" spans="2:16" ht="14.25" customHeight="1">
      <c r="B192" s="5"/>
      <c r="C192" s="5"/>
      <c r="D192" s="5"/>
      <c r="E192" s="5"/>
      <c r="F192" s="5"/>
      <c r="G192" s="5"/>
      <c r="H192" s="5"/>
      <c r="M192" s="5"/>
      <c r="N192" s="5"/>
      <c r="P192" s="5"/>
    </row>
    <row r="193" spans="2:16" ht="14.25" customHeight="1">
      <c r="B193" s="5"/>
      <c r="C193" s="5"/>
      <c r="D193" s="5"/>
      <c r="E193" s="5"/>
      <c r="F193" s="5"/>
      <c r="G193" s="5"/>
      <c r="H193" s="5"/>
      <c r="M193" s="5"/>
      <c r="N193" s="5"/>
      <c r="P193" s="5"/>
    </row>
    <row r="194" spans="2:16" ht="14.25" customHeight="1">
      <c r="B194" s="5"/>
      <c r="C194" s="5"/>
      <c r="D194" s="5"/>
      <c r="E194" s="5"/>
      <c r="F194" s="5"/>
      <c r="G194" s="5"/>
      <c r="H194" s="5"/>
      <c r="M194" s="5"/>
      <c r="N194" s="5"/>
      <c r="P194" s="5"/>
    </row>
    <row r="195" spans="2:16" ht="14.25" customHeight="1">
      <c r="B195" s="5"/>
      <c r="C195" s="5"/>
      <c r="D195" s="5"/>
      <c r="E195" s="5"/>
      <c r="F195" s="5"/>
      <c r="G195" s="5"/>
      <c r="H195" s="5"/>
      <c r="M195" s="5"/>
      <c r="N195" s="5"/>
      <c r="P195" s="5"/>
    </row>
    <row r="196" spans="2:16" ht="14.25" customHeight="1">
      <c r="B196" s="5"/>
      <c r="C196" s="5"/>
      <c r="D196" s="5"/>
      <c r="E196" s="5"/>
      <c r="F196" s="5"/>
      <c r="G196" s="5"/>
      <c r="H196" s="5"/>
      <c r="M196" s="5"/>
      <c r="N196" s="5"/>
      <c r="P196" s="5"/>
    </row>
    <row r="197" spans="2:16" ht="14.25" customHeight="1">
      <c r="B197" s="5"/>
      <c r="C197" s="5"/>
      <c r="D197" s="5"/>
      <c r="E197" s="5"/>
      <c r="F197" s="5"/>
      <c r="G197" s="5"/>
      <c r="H197" s="5"/>
      <c r="M197" s="5"/>
      <c r="N197" s="5"/>
      <c r="P197" s="5"/>
    </row>
    <row r="198" spans="2:16" ht="14.25" customHeight="1">
      <c r="B198" s="5"/>
      <c r="C198" s="5"/>
      <c r="D198" s="5"/>
      <c r="E198" s="5"/>
      <c r="F198" s="5"/>
      <c r="G198" s="5"/>
      <c r="H198" s="5"/>
      <c r="M198" s="5"/>
      <c r="N198" s="5"/>
      <c r="P198" s="5"/>
    </row>
    <row r="199" spans="2:16" ht="14.25" customHeight="1">
      <c r="B199" s="5"/>
      <c r="C199" s="5"/>
      <c r="D199" s="5"/>
      <c r="E199" s="5"/>
      <c r="F199" s="5"/>
      <c r="G199" s="5"/>
      <c r="H199" s="5"/>
      <c r="M199" s="5"/>
      <c r="N199" s="5"/>
      <c r="P199" s="5"/>
    </row>
    <row r="200" spans="2:16" ht="14.25" customHeight="1">
      <c r="B200" s="5"/>
      <c r="C200" s="5"/>
      <c r="D200" s="5"/>
      <c r="E200" s="5"/>
      <c r="F200" s="5"/>
      <c r="G200" s="5"/>
      <c r="H200" s="5"/>
      <c r="M200" s="5"/>
      <c r="N200" s="5"/>
      <c r="P200" s="5"/>
    </row>
    <row r="201" spans="2:16" ht="14.25" customHeight="1">
      <c r="B201" s="5"/>
      <c r="C201" s="5"/>
      <c r="D201" s="5"/>
      <c r="E201" s="5"/>
      <c r="F201" s="5"/>
      <c r="G201" s="5"/>
      <c r="H201" s="5"/>
      <c r="M201" s="5"/>
      <c r="N201" s="5"/>
      <c r="P201" s="5"/>
    </row>
    <row r="202" spans="2:16" ht="14.25" customHeight="1">
      <c r="B202" s="5"/>
      <c r="C202" s="5"/>
      <c r="D202" s="5"/>
      <c r="E202" s="5"/>
      <c r="F202" s="5"/>
      <c r="G202" s="5"/>
      <c r="H202" s="5"/>
      <c r="M202" s="5"/>
      <c r="N202" s="5"/>
      <c r="P202" s="5"/>
    </row>
    <row r="203" spans="2:16" ht="14.25" customHeight="1">
      <c r="B203" s="5"/>
      <c r="C203" s="5"/>
      <c r="D203" s="5"/>
      <c r="E203" s="5"/>
      <c r="F203" s="5"/>
      <c r="G203" s="5"/>
      <c r="H203" s="5"/>
      <c r="M203" s="5"/>
      <c r="N203" s="5"/>
      <c r="P203" s="5"/>
    </row>
    <row r="204" spans="2:16" ht="14.25" customHeight="1">
      <c r="B204" s="5"/>
      <c r="C204" s="5"/>
      <c r="D204" s="5"/>
      <c r="E204" s="5"/>
      <c r="F204" s="5"/>
      <c r="G204" s="5"/>
      <c r="H204" s="5"/>
      <c r="M204" s="5"/>
      <c r="N204" s="5"/>
      <c r="P204" s="5"/>
    </row>
    <row r="205" spans="2:16" ht="14.25" customHeight="1">
      <c r="B205" s="5"/>
      <c r="C205" s="5"/>
      <c r="D205" s="5"/>
      <c r="E205" s="5"/>
      <c r="F205" s="5"/>
      <c r="G205" s="5"/>
      <c r="H205" s="5"/>
      <c r="M205" s="5"/>
      <c r="N205" s="5"/>
      <c r="P205" s="5"/>
    </row>
    <row r="206" spans="2:16" ht="14.25" customHeight="1">
      <c r="B206" s="5"/>
      <c r="C206" s="5"/>
      <c r="D206" s="5"/>
      <c r="E206" s="5"/>
      <c r="F206" s="5"/>
      <c r="G206" s="5"/>
      <c r="H206" s="5"/>
      <c r="M206" s="5"/>
      <c r="N206" s="5"/>
      <c r="P206" s="5"/>
    </row>
    <row r="207" spans="2:16" ht="14.25" customHeight="1">
      <c r="B207" s="5"/>
      <c r="C207" s="5"/>
      <c r="D207" s="5"/>
      <c r="E207" s="5"/>
      <c r="F207" s="5"/>
      <c r="G207" s="5"/>
      <c r="H207" s="5"/>
      <c r="M207" s="5"/>
      <c r="N207" s="5"/>
      <c r="P207" s="5"/>
    </row>
    <row r="208" spans="2:16" ht="14.25" customHeight="1">
      <c r="B208" s="5"/>
      <c r="C208" s="5"/>
      <c r="D208" s="5"/>
      <c r="E208" s="5"/>
      <c r="F208" s="5"/>
      <c r="G208" s="5"/>
      <c r="H208" s="5"/>
      <c r="M208" s="5"/>
      <c r="N208" s="5"/>
      <c r="P208" s="5"/>
    </row>
    <row r="209" spans="2:16" ht="14.25" customHeight="1">
      <c r="B209" s="5"/>
      <c r="C209" s="5"/>
      <c r="D209" s="5"/>
      <c r="E209" s="5"/>
      <c r="F209" s="5"/>
      <c r="G209" s="5"/>
      <c r="H209" s="5"/>
      <c r="M209" s="5"/>
      <c r="N209" s="5"/>
      <c r="P209" s="5"/>
    </row>
    <row r="210" spans="2:16" ht="14.25" customHeight="1">
      <c r="B210" s="5"/>
      <c r="C210" s="5"/>
      <c r="D210" s="5"/>
      <c r="E210" s="5"/>
      <c r="F210" s="5"/>
      <c r="G210" s="5"/>
      <c r="H210" s="5"/>
      <c r="M210" s="5"/>
      <c r="N210" s="5"/>
      <c r="P210" s="5"/>
    </row>
    <row r="211" spans="2:16" ht="14.25" customHeight="1">
      <c r="B211" s="5"/>
      <c r="C211" s="5"/>
      <c r="D211" s="5"/>
      <c r="E211" s="5"/>
      <c r="F211" s="5"/>
      <c r="G211" s="5"/>
      <c r="H211" s="5"/>
      <c r="M211" s="5"/>
      <c r="N211" s="5"/>
      <c r="P211" s="5"/>
    </row>
    <row r="212" spans="2:16" ht="14.25" customHeight="1">
      <c r="B212" s="5"/>
      <c r="C212" s="5"/>
      <c r="D212" s="5"/>
      <c r="E212" s="5"/>
      <c r="F212" s="5"/>
      <c r="G212" s="5"/>
      <c r="H212" s="5"/>
      <c r="M212" s="5"/>
      <c r="N212" s="5"/>
      <c r="P212" s="5"/>
    </row>
    <row r="213" spans="2:16" ht="14.25" customHeight="1">
      <c r="B213" s="5"/>
      <c r="C213" s="5"/>
      <c r="D213" s="5"/>
      <c r="E213" s="5"/>
      <c r="F213" s="5"/>
      <c r="G213" s="5"/>
      <c r="H213" s="5"/>
      <c r="M213" s="5"/>
      <c r="N213" s="5"/>
      <c r="P213" s="5"/>
    </row>
    <row r="214" spans="2:16" ht="14.25" customHeight="1">
      <c r="B214" s="5"/>
      <c r="C214" s="5"/>
      <c r="D214" s="5"/>
      <c r="E214" s="5"/>
      <c r="F214" s="5"/>
      <c r="G214" s="5"/>
      <c r="H214" s="5"/>
      <c r="M214" s="5"/>
      <c r="N214" s="5"/>
      <c r="P214" s="5"/>
    </row>
    <row r="215" spans="2:16" ht="14.25" customHeight="1">
      <c r="B215" s="5"/>
      <c r="C215" s="5"/>
      <c r="D215" s="5"/>
      <c r="E215" s="5"/>
      <c r="F215" s="5"/>
      <c r="G215" s="5"/>
      <c r="H215" s="5"/>
      <c r="M215" s="5"/>
      <c r="N215" s="5"/>
      <c r="P215" s="5"/>
    </row>
    <row r="216" spans="2:16" ht="14.25" customHeight="1">
      <c r="B216" s="5"/>
      <c r="C216" s="5"/>
      <c r="D216" s="5"/>
      <c r="E216" s="5"/>
      <c r="F216" s="5"/>
      <c r="G216" s="5"/>
      <c r="H216" s="5"/>
      <c r="M216" s="5"/>
      <c r="N216" s="5"/>
      <c r="P216" s="5"/>
    </row>
    <row r="217" spans="2:16" ht="14.25" customHeight="1">
      <c r="B217" s="5"/>
      <c r="C217" s="5"/>
      <c r="D217" s="5"/>
      <c r="E217" s="5"/>
      <c r="F217" s="5"/>
      <c r="G217" s="5"/>
      <c r="H217" s="5"/>
      <c r="M217" s="5"/>
      <c r="N217" s="5"/>
      <c r="P217" s="5"/>
    </row>
    <row r="218" spans="2:16" ht="14.25" customHeight="1">
      <c r="B218" s="5"/>
      <c r="C218" s="5"/>
      <c r="D218" s="5"/>
      <c r="E218" s="5"/>
      <c r="F218" s="5"/>
      <c r="G218" s="5"/>
      <c r="H218" s="5"/>
      <c r="M218" s="5"/>
      <c r="N218" s="5"/>
      <c r="P218" s="5"/>
    </row>
    <row r="219" spans="2:16" ht="14.25" customHeight="1">
      <c r="B219" s="5"/>
      <c r="C219" s="5"/>
      <c r="D219" s="5"/>
      <c r="E219" s="5"/>
      <c r="F219" s="5"/>
      <c r="G219" s="5"/>
      <c r="H219" s="5"/>
      <c r="M219" s="5"/>
      <c r="N219" s="5"/>
      <c r="P219" s="5"/>
    </row>
    <row r="220" spans="2:16" ht="14.25" customHeight="1">
      <c r="B220" s="5"/>
      <c r="C220" s="5"/>
      <c r="D220" s="5"/>
      <c r="E220" s="5"/>
      <c r="F220" s="5"/>
      <c r="G220" s="5"/>
      <c r="H220" s="5"/>
      <c r="M220" s="5"/>
      <c r="N220" s="5"/>
      <c r="P220" s="5"/>
    </row>
    <row r="221" spans="2:16" ht="14.25" customHeight="1">
      <c r="B221" s="5"/>
      <c r="C221" s="5"/>
      <c r="D221" s="5"/>
      <c r="E221" s="5"/>
      <c r="F221" s="5"/>
      <c r="G221" s="5"/>
      <c r="H221" s="5"/>
      <c r="M221" s="5"/>
      <c r="N221" s="5"/>
      <c r="P221" s="5"/>
    </row>
    <row r="222" spans="2:16" ht="14.25" customHeight="1">
      <c r="B222" s="5"/>
      <c r="C222" s="5"/>
      <c r="D222" s="5"/>
      <c r="E222" s="5"/>
      <c r="F222" s="5"/>
      <c r="G222" s="5"/>
      <c r="H222" s="5"/>
      <c r="M222" s="5"/>
      <c r="N222" s="5"/>
      <c r="P222" s="5"/>
    </row>
    <row r="223" spans="2:16" ht="14.25" customHeight="1">
      <c r="B223" s="5"/>
      <c r="C223" s="5"/>
      <c r="D223" s="5"/>
      <c r="E223" s="5"/>
      <c r="F223" s="5"/>
      <c r="G223" s="5"/>
      <c r="H223" s="5"/>
      <c r="M223" s="5"/>
      <c r="N223" s="5"/>
      <c r="P223" s="5"/>
    </row>
    <row r="224" spans="2:16" ht="14.25" customHeight="1">
      <c r="B224" s="5"/>
      <c r="C224" s="5"/>
      <c r="D224" s="5"/>
      <c r="E224" s="5"/>
      <c r="F224" s="5"/>
      <c r="G224" s="5"/>
      <c r="H224" s="5"/>
      <c r="M224" s="5"/>
      <c r="N224" s="5"/>
      <c r="P224" s="5"/>
    </row>
    <row r="225" spans="2:16" ht="14.25" customHeight="1">
      <c r="B225" s="5"/>
      <c r="C225" s="5"/>
      <c r="D225" s="5"/>
      <c r="E225" s="5"/>
      <c r="F225" s="5"/>
      <c r="G225" s="5"/>
      <c r="H225" s="5"/>
      <c r="M225" s="5"/>
      <c r="N225" s="5"/>
      <c r="P225" s="5"/>
    </row>
    <row r="226" spans="2:16" ht="14.25" customHeight="1">
      <c r="B226" s="5"/>
      <c r="C226" s="5"/>
      <c r="D226" s="5"/>
      <c r="E226" s="5"/>
      <c r="F226" s="5"/>
      <c r="G226" s="5"/>
      <c r="H226" s="5"/>
      <c r="M226" s="5"/>
      <c r="N226" s="5"/>
      <c r="P226" s="5"/>
    </row>
    <row r="227" spans="2:16" ht="14.25" customHeight="1">
      <c r="B227" s="5"/>
      <c r="C227" s="5"/>
      <c r="D227" s="5"/>
      <c r="E227" s="5"/>
      <c r="F227" s="5"/>
      <c r="G227" s="5"/>
      <c r="H227" s="5"/>
      <c r="M227" s="5"/>
      <c r="N227" s="5"/>
      <c r="P227" s="5"/>
    </row>
    <row r="228" spans="2:16" ht="14.25" customHeight="1">
      <c r="B228" s="5"/>
      <c r="C228" s="5"/>
      <c r="D228" s="5"/>
      <c r="E228" s="5"/>
      <c r="F228" s="5"/>
      <c r="G228" s="5"/>
      <c r="H228" s="5"/>
      <c r="M228" s="5"/>
      <c r="N228" s="5"/>
      <c r="P228" s="5"/>
    </row>
    <row r="229" spans="2:16" ht="14.25" customHeight="1">
      <c r="B229" s="5"/>
      <c r="C229" s="5"/>
      <c r="D229" s="5"/>
      <c r="E229" s="5"/>
      <c r="F229" s="5"/>
      <c r="G229" s="5"/>
      <c r="H229" s="5"/>
      <c r="M229" s="5"/>
      <c r="N229" s="5"/>
      <c r="P229" s="5"/>
    </row>
    <row r="230" spans="2:16" ht="14.25" customHeight="1">
      <c r="B230" s="5"/>
      <c r="C230" s="5"/>
      <c r="D230" s="5"/>
      <c r="E230" s="5"/>
      <c r="F230" s="5"/>
      <c r="G230" s="5"/>
      <c r="H230" s="5"/>
      <c r="M230" s="5"/>
      <c r="N230" s="5"/>
      <c r="P230" s="5"/>
    </row>
    <row r="231" spans="2:16" ht="14.25" customHeight="1">
      <c r="B231" s="5"/>
      <c r="C231" s="5"/>
      <c r="D231" s="5"/>
      <c r="E231" s="5"/>
      <c r="F231" s="5"/>
      <c r="G231" s="5"/>
      <c r="H231" s="5"/>
      <c r="M231" s="5"/>
      <c r="N231" s="5"/>
      <c r="P231" s="5"/>
    </row>
    <row r="232" spans="2:16" ht="14.25" customHeight="1">
      <c r="B232" s="5"/>
      <c r="C232" s="5"/>
      <c r="D232" s="5"/>
      <c r="E232" s="5"/>
      <c r="F232" s="5"/>
      <c r="G232" s="5"/>
      <c r="H232" s="5"/>
      <c r="M232" s="5"/>
      <c r="N232" s="5"/>
      <c r="P232" s="5"/>
    </row>
    <row r="233" spans="2:16" ht="14.25" customHeight="1">
      <c r="B233" s="5"/>
      <c r="C233" s="5"/>
      <c r="D233" s="5"/>
      <c r="E233" s="5"/>
      <c r="F233" s="5"/>
      <c r="G233" s="5"/>
      <c r="H233" s="5"/>
      <c r="M233" s="5"/>
      <c r="N233" s="5"/>
      <c r="P233" s="5"/>
    </row>
    <row r="234" spans="2:16" ht="14.25" customHeight="1">
      <c r="B234" s="5"/>
      <c r="C234" s="5"/>
      <c r="D234" s="5"/>
      <c r="E234" s="5"/>
      <c r="F234" s="5"/>
      <c r="G234" s="5"/>
      <c r="H234" s="5"/>
      <c r="M234" s="5"/>
      <c r="N234" s="5"/>
      <c r="P234" s="5"/>
    </row>
    <row r="235" spans="2:16" ht="14.25" customHeight="1">
      <c r="B235" s="5"/>
      <c r="C235" s="5"/>
      <c r="D235" s="5"/>
      <c r="E235" s="5"/>
      <c r="F235" s="5"/>
      <c r="G235" s="5"/>
      <c r="H235" s="5"/>
      <c r="M235" s="5"/>
      <c r="N235" s="5"/>
      <c r="P235" s="5"/>
    </row>
    <row r="236" spans="2:16" ht="14.25" customHeight="1">
      <c r="B236" s="5"/>
      <c r="C236" s="5"/>
      <c r="D236" s="5"/>
      <c r="E236" s="5"/>
      <c r="F236" s="5"/>
      <c r="G236" s="5"/>
      <c r="H236" s="5"/>
      <c r="M236" s="5"/>
      <c r="N236" s="5"/>
      <c r="P236" s="5"/>
    </row>
    <row r="237" spans="2:16" ht="14.25" customHeight="1">
      <c r="B237" s="5"/>
      <c r="C237" s="5"/>
      <c r="D237" s="5"/>
      <c r="E237" s="5"/>
      <c r="F237" s="5"/>
      <c r="G237" s="5"/>
      <c r="H237" s="5"/>
      <c r="M237" s="5"/>
      <c r="N237" s="5"/>
      <c r="P237" s="5"/>
    </row>
    <row r="238" spans="2:16" ht="14.25" customHeight="1">
      <c r="B238" s="5"/>
      <c r="C238" s="5"/>
      <c r="D238" s="5"/>
      <c r="E238" s="5"/>
      <c r="F238" s="5"/>
      <c r="G238" s="5"/>
      <c r="H238" s="5"/>
      <c r="M238" s="5"/>
      <c r="N238" s="5"/>
      <c r="P238" s="5"/>
    </row>
    <row r="239" spans="2:16" ht="14.25" customHeight="1">
      <c r="B239" s="5"/>
      <c r="C239" s="5"/>
      <c r="D239" s="5"/>
      <c r="E239" s="5"/>
      <c r="F239" s="5"/>
      <c r="G239" s="5"/>
      <c r="H239" s="5"/>
      <c r="M239" s="5"/>
      <c r="N239" s="5"/>
      <c r="P239" s="5"/>
    </row>
    <row r="240" spans="2:16" ht="14.25" customHeight="1">
      <c r="B240" s="5"/>
      <c r="C240" s="5"/>
      <c r="D240" s="5"/>
      <c r="E240" s="5"/>
      <c r="F240" s="5"/>
      <c r="G240" s="5"/>
      <c r="H240" s="5"/>
      <c r="M240" s="5"/>
      <c r="N240" s="5"/>
      <c r="P240" s="5"/>
    </row>
    <row r="241" spans="2:16" ht="14.25" customHeight="1">
      <c r="B241" s="5"/>
      <c r="C241" s="5"/>
      <c r="D241" s="5"/>
      <c r="E241" s="5"/>
      <c r="F241" s="5"/>
      <c r="G241" s="5"/>
      <c r="H241" s="5"/>
      <c r="M241" s="5"/>
      <c r="N241" s="5"/>
      <c r="P241" s="5"/>
    </row>
    <row r="242" spans="2:16" ht="14.25" customHeight="1">
      <c r="B242" s="5"/>
      <c r="C242" s="5"/>
      <c r="D242" s="5"/>
      <c r="E242" s="5"/>
      <c r="F242" s="5"/>
      <c r="G242" s="5"/>
      <c r="H242" s="5"/>
      <c r="M242" s="5"/>
      <c r="N242" s="5"/>
      <c r="P242" s="5"/>
    </row>
    <row r="243" spans="2:16" ht="14.25" customHeight="1">
      <c r="B243" s="5"/>
      <c r="C243" s="5"/>
      <c r="D243" s="5"/>
      <c r="E243" s="5"/>
      <c r="F243" s="5"/>
      <c r="G243" s="5"/>
      <c r="H243" s="5"/>
      <c r="M243" s="5"/>
      <c r="N243" s="5"/>
      <c r="P243" s="5"/>
    </row>
    <row r="244" spans="2:16" ht="14.25" customHeight="1">
      <c r="B244" s="5"/>
      <c r="C244" s="5"/>
      <c r="D244" s="5"/>
      <c r="E244" s="5"/>
      <c r="F244" s="5"/>
      <c r="G244" s="5"/>
      <c r="H244" s="5"/>
      <c r="M244" s="5"/>
      <c r="N244" s="5"/>
      <c r="P244" s="5"/>
    </row>
    <row r="245" spans="2:16" ht="14.25" customHeight="1">
      <c r="B245" s="5"/>
      <c r="C245" s="5"/>
      <c r="D245" s="5"/>
      <c r="E245" s="5"/>
      <c r="F245" s="5"/>
      <c r="G245" s="5"/>
      <c r="H245" s="5"/>
      <c r="M245" s="5"/>
      <c r="N245" s="5"/>
      <c r="P245" s="5"/>
    </row>
    <row r="246" spans="2:16" ht="14.25" customHeight="1">
      <c r="B246" s="5"/>
      <c r="C246" s="5"/>
      <c r="D246" s="5"/>
      <c r="E246" s="5"/>
      <c r="F246" s="5"/>
      <c r="G246" s="5"/>
      <c r="H246" s="5"/>
      <c r="M246" s="5"/>
      <c r="N246" s="5"/>
      <c r="P246" s="5"/>
    </row>
    <row r="247" spans="2:16" ht="14.25" customHeight="1">
      <c r="B247" s="5"/>
      <c r="C247" s="5"/>
      <c r="D247" s="5"/>
      <c r="E247" s="5"/>
      <c r="F247" s="5"/>
      <c r="G247" s="5"/>
      <c r="H247" s="5"/>
      <c r="M247" s="5"/>
      <c r="N247" s="5"/>
      <c r="P247" s="5"/>
    </row>
    <row r="248" spans="2:16" ht="14.25" customHeight="1">
      <c r="B248" s="5"/>
      <c r="C248" s="5"/>
      <c r="D248" s="5"/>
      <c r="E248" s="5"/>
      <c r="F248" s="5"/>
      <c r="G248" s="5"/>
      <c r="H248" s="5"/>
      <c r="M248" s="5"/>
      <c r="N248" s="5"/>
      <c r="P248" s="5"/>
    </row>
    <row r="249" spans="2:16" ht="14.25" customHeight="1">
      <c r="B249" s="5"/>
      <c r="C249" s="5"/>
      <c r="D249" s="5"/>
      <c r="E249" s="5"/>
      <c r="F249" s="5"/>
      <c r="G249" s="5"/>
      <c r="H249" s="5"/>
      <c r="M249" s="5"/>
      <c r="N249" s="5"/>
      <c r="P249" s="5"/>
    </row>
    <row r="250" spans="2:16" ht="14.25" customHeight="1">
      <c r="B250" s="5"/>
      <c r="C250" s="5"/>
      <c r="D250" s="5"/>
      <c r="E250" s="5"/>
      <c r="F250" s="5"/>
      <c r="G250" s="5"/>
      <c r="H250" s="5"/>
      <c r="M250" s="5"/>
      <c r="N250" s="5"/>
      <c r="P250" s="5"/>
    </row>
    <row r="251" spans="2:16" ht="14.25" customHeight="1">
      <c r="B251" s="5"/>
      <c r="C251" s="5"/>
      <c r="D251" s="5"/>
      <c r="E251" s="5"/>
      <c r="F251" s="5"/>
      <c r="G251" s="5"/>
      <c r="H251" s="5"/>
      <c r="M251" s="5"/>
      <c r="N251" s="5"/>
      <c r="P251" s="5"/>
    </row>
    <row r="252" spans="2:16" ht="14.25" customHeight="1">
      <c r="B252" s="5"/>
      <c r="C252" s="5"/>
      <c r="D252" s="5"/>
      <c r="E252" s="5"/>
      <c r="F252" s="5"/>
      <c r="G252" s="5"/>
      <c r="H252" s="5"/>
      <c r="M252" s="5"/>
      <c r="N252" s="5"/>
      <c r="P252" s="5"/>
    </row>
    <row r="253" spans="2:16" ht="14.25" customHeight="1">
      <c r="B253" s="5"/>
      <c r="C253" s="5"/>
      <c r="D253" s="5"/>
      <c r="E253" s="5"/>
      <c r="F253" s="5"/>
      <c r="G253" s="5"/>
      <c r="H253" s="5"/>
      <c r="M253" s="5"/>
      <c r="N253" s="5"/>
      <c r="P253" s="5"/>
    </row>
    <row r="254" spans="2:16" ht="14.25" customHeight="1">
      <c r="B254" s="5"/>
      <c r="C254" s="5"/>
      <c r="D254" s="5"/>
      <c r="E254" s="5"/>
      <c r="F254" s="5"/>
      <c r="G254" s="5"/>
      <c r="H254" s="5"/>
      <c r="M254" s="5"/>
      <c r="N254" s="5"/>
      <c r="P254" s="5"/>
    </row>
    <row r="255" spans="2:16" ht="14.25" customHeight="1">
      <c r="B255" s="5"/>
      <c r="C255" s="5"/>
      <c r="D255" s="5"/>
      <c r="E255" s="5"/>
      <c r="F255" s="5"/>
      <c r="G255" s="5"/>
      <c r="H255" s="5"/>
      <c r="M255" s="5"/>
      <c r="N255" s="5"/>
      <c r="P255" s="5"/>
    </row>
    <row r="256" spans="2:16" ht="14.25" customHeight="1">
      <c r="B256" s="5"/>
      <c r="C256" s="5"/>
      <c r="D256" s="5"/>
      <c r="E256" s="5"/>
      <c r="F256" s="5"/>
      <c r="G256" s="5"/>
      <c r="H256" s="5"/>
      <c r="M256" s="5"/>
      <c r="N256" s="5"/>
      <c r="P256" s="5"/>
    </row>
    <row r="257" spans="2:16" ht="14.25" customHeight="1">
      <c r="B257" s="5"/>
      <c r="C257" s="5"/>
      <c r="D257" s="5"/>
      <c r="E257" s="5"/>
      <c r="F257" s="5"/>
      <c r="G257" s="5"/>
      <c r="H257" s="5"/>
      <c r="M257" s="5"/>
      <c r="N257" s="5"/>
      <c r="P257" s="5"/>
    </row>
    <row r="258" spans="2:16" ht="14.25" customHeight="1">
      <c r="B258" s="5"/>
      <c r="C258" s="5"/>
      <c r="D258" s="5"/>
      <c r="E258" s="5"/>
      <c r="F258" s="5"/>
      <c r="G258" s="5"/>
      <c r="H258" s="5"/>
      <c r="M258" s="5"/>
      <c r="N258" s="5"/>
      <c r="P258" s="5"/>
    </row>
    <row r="259" spans="2:16" ht="14.25" customHeight="1">
      <c r="B259" s="5"/>
      <c r="C259" s="5"/>
      <c r="D259" s="5"/>
      <c r="E259" s="5"/>
      <c r="F259" s="5"/>
      <c r="G259" s="5"/>
      <c r="H259" s="5"/>
      <c r="M259" s="5"/>
      <c r="N259" s="5"/>
      <c r="P259" s="5"/>
    </row>
    <row r="260" spans="2:16" ht="14.25" customHeight="1">
      <c r="B260" s="5"/>
      <c r="C260" s="5"/>
      <c r="D260" s="5"/>
      <c r="E260" s="5"/>
      <c r="F260" s="5"/>
      <c r="G260" s="5"/>
      <c r="H260" s="5"/>
      <c r="M260" s="5"/>
      <c r="N260" s="5"/>
      <c r="P260" s="5"/>
    </row>
    <row r="261" spans="2:16" ht="14.25" customHeight="1">
      <c r="B261" s="5"/>
      <c r="C261" s="5"/>
      <c r="D261" s="5"/>
      <c r="E261" s="5"/>
      <c r="F261" s="5"/>
      <c r="G261" s="5"/>
      <c r="H261" s="5"/>
      <c r="M261" s="5"/>
      <c r="N261" s="5"/>
      <c r="P261" s="5"/>
    </row>
    <row r="262" spans="2:16" ht="14.25" customHeight="1">
      <c r="B262" s="5"/>
      <c r="C262" s="5"/>
      <c r="D262" s="5"/>
      <c r="E262" s="5"/>
      <c r="F262" s="5"/>
      <c r="G262" s="5"/>
      <c r="H262" s="5"/>
      <c r="M262" s="5"/>
      <c r="N262" s="5"/>
      <c r="P262" s="5"/>
    </row>
    <row r="263" spans="2:16" ht="14.25" customHeight="1">
      <c r="B263" s="5"/>
      <c r="C263" s="5"/>
      <c r="D263" s="5"/>
      <c r="E263" s="5"/>
      <c r="F263" s="5"/>
      <c r="G263" s="5"/>
      <c r="H263" s="5"/>
      <c r="M263" s="5"/>
      <c r="N263" s="5"/>
      <c r="P263" s="5"/>
    </row>
    <row r="264" spans="2:16" ht="14.25" customHeight="1">
      <c r="B264" s="5"/>
      <c r="C264" s="5"/>
      <c r="D264" s="5"/>
      <c r="E264" s="5"/>
      <c r="F264" s="5"/>
      <c r="G264" s="5"/>
      <c r="H264" s="5"/>
      <c r="M264" s="5"/>
      <c r="N264" s="5"/>
      <c r="P264" s="5"/>
    </row>
    <row r="265" spans="2:16" ht="14.25" customHeight="1">
      <c r="B265" s="5"/>
      <c r="C265" s="5"/>
      <c r="D265" s="5"/>
      <c r="E265" s="5"/>
      <c r="F265" s="5"/>
      <c r="G265" s="5"/>
      <c r="H265" s="5"/>
      <c r="M265" s="5"/>
      <c r="N265" s="5"/>
      <c r="P265" s="5"/>
    </row>
    <row r="266" spans="2:16" ht="14.25" customHeight="1">
      <c r="B266" s="5"/>
      <c r="C266" s="5"/>
      <c r="D266" s="5"/>
      <c r="E266" s="5"/>
      <c r="F266" s="5"/>
      <c r="G266" s="5"/>
      <c r="H266" s="5"/>
      <c r="M266" s="5"/>
      <c r="N266" s="5"/>
      <c r="P266" s="5"/>
    </row>
    <row r="267" spans="2:16" ht="14.25" customHeight="1">
      <c r="B267" s="5"/>
      <c r="C267" s="5"/>
      <c r="D267" s="5"/>
      <c r="E267" s="5"/>
      <c r="F267" s="5"/>
      <c r="G267" s="5"/>
      <c r="H267" s="5"/>
      <c r="M267" s="5"/>
      <c r="N267" s="5"/>
      <c r="P267" s="5"/>
    </row>
    <row r="268" spans="2:16" ht="14.25" customHeight="1">
      <c r="B268" s="5"/>
      <c r="C268" s="5"/>
      <c r="D268" s="5"/>
      <c r="E268" s="5"/>
      <c r="F268" s="5"/>
      <c r="G268" s="5"/>
      <c r="H268" s="5"/>
      <c r="M268" s="5"/>
      <c r="N268" s="5"/>
      <c r="P268" s="5"/>
    </row>
    <row r="269" spans="2:16" ht="14.25" customHeight="1">
      <c r="B269" s="5"/>
      <c r="C269" s="5"/>
      <c r="D269" s="5"/>
      <c r="E269" s="5"/>
      <c r="F269" s="5"/>
      <c r="G269" s="5"/>
      <c r="H269" s="5"/>
      <c r="M269" s="5"/>
      <c r="N269" s="5"/>
      <c r="P269" s="5"/>
    </row>
    <row r="270" spans="2:16" ht="14.25" customHeight="1">
      <c r="B270" s="5"/>
      <c r="C270" s="5"/>
      <c r="D270" s="5"/>
      <c r="E270" s="5"/>
      <c r="F270" s="5"/>
      <c r="G270" s="5"/>
      <c r="H270" s="5"/>
      <c r="M270" s="5"/>
      <c r="N270" s="5"/>
      <c r="P270" s="5"/>
    </row>
    <row r="271" spans="2:16" ht="14.25" customHeight="1">
      <c r="B271" s="5"/>
      <c r="C271" s="5"/>
      <c r="D271" s="5"/>
      <c r="E271" s="5"/>
      <c r="F271" s="5"/>
      <c r="G271" s="5"/>
      <c r="H271" s="5"/>
      <c r="M271" s="5"/>
      <c r="N271" s="5"/>
      <c r="P271" s="5"/>
    </row>
    <row r="272" spans="2:16" ht="14.25" customHeight="1">
      <c r="B272" s="5"/>
      <c r="C272" s="5"/>
      <c r="D272" s="5"/>
      <c r="E272" s="5"/>
      <c r="F272" s="5"/>
      <c r="G272" s="5"/>
      <c r="H272" s="5"/>
      <c r="M272" s="5"/>
      <c r="N272" s="5"/>
      <c r="P272" s="5"/>
    </row>
    <row r="273" spans="2:16" ht="14.25" customHeight="1">
      <c r="B273" s="5"/>
      <c r="C273" s="5"/>
      <c r="D273" s="5"/>
      <c r="E273" s="5"/>
      <c r="F273" s="5"/>
      <c r="G273" s="5"/>
      <c r="H273" s="5"/>
      <c r="M273" s="5"/>
      <c r="N273" s="5"/>
      <c r="P273" s="5"/>
    </row>
    <row r="274" spans="2:16" ht="14.25" customHeight="1">
      <c r="B274" s="5"/>
      <c r="C274" s="5"/>
      <c r="D274" s="5"/>
      <c r="E274" s="5"/>
      <c r="F274" s="5"/>
      <c r="G274" s="5"/>
      <c r="H274" s="5"/>
      <c r="M274" s="5"/>
      <c r="N274" s="5"/>
      <c r="P274" s="5"/>
    </row>
    <row r="275" spans="2:16" ht="14.25" customHeight="1">
      <c r="B275" s="5"/>
      <c r="C275" s="5"/>
      <c r="D275" s="5"/>
      <c r="E275" s="5"/>
      <c r="F275" s="5"/>
      <c r="G275" s="5"/>
      <c r="H275" s="5"/>
      <c r="M275" s="5"/>
      <c r="N275" s="5"/>
      <c r="P275" s="5"/>
    </row>
    <row r="276" spans="2:16" ht="14.25" customHeight="1">
      <c r="B276" s="5"/>
      <c r="C276" s="5"/>
      <c r="D276" s="5"/>
      <c r="E276" s="5"/>
      <c r="F276" s="5"/>
      <c r="G276" s="5"/>
      <c r="H276" s="5"/>
      <c r="M276" s="5"/>
      <c r="N276" s="5"/>
      <c r="P276" s="5"/>
    </row>
    <row r="277" spans="2:16" ht="14.25" customHeight="1">
      <c r="B277" s="5"/>
      <c r="C277" s="5"/>
      <c r="D277" s="5"/>
      <c r="E277" s="5"/>
      <c r="F277" s="5"/>
      <c r="G277" s="5"/>
      <c r="H277" s="5"/>
      <c r="M277" s="5"/>
      <c r="N277" s="5"/>
      <c r="P277" s="5"/>
    </row>
    <row r="278" spans="2:16" ht="14.25" customHeight="1">
      <c r="B278" s="5"/>
      <c r="C278" s="5"/>
      <c r="D278" s="5"/>
      <c r="E278" s="5"/>
      <c r="F278" s="5"/>
      <c r="G278" s="5"/>
      <c r="H278" s="5"/>
      <c r="M278" s="5"/>
      <c r="N278" s="5"/>
      <c r="P278" s="5"/>
    </row>
    <row r="279" spans="2:16" ht="14.25" customHeight="1">
      <c r="B279" s="5"/>
      <c r="C279" s="5"/>
      <c r="D279" s="5"/>
      <c r="E279" s="5"/>
      <c r="F279" s="5"/>
      <c r="G279" s="5"/>
      <c r="H279" s="5"/>
      <c r="M279" s="5"/>
      <c r="N279" s="5"/>
      <c r="P279" s="5"/>
    </row>
    <row r="280" spans="2:16" ht="14.25" customHeight="1">
      <c r="B280" s="5"/>
      <c r="C280" s="5"/>
      <c r="D280" s="5"/>
      <c r="E280" s="5"/>
      <c r="F280" s="5"/>
      <c r="G280" s="5"/>
      <c r="H280" s="5"/>
      <c r="M280" s="5"/>
      <c r="N280" s="5"/>
      <c r="P280" s="5"/>
    </row>
    <row r="281" spans="2:16" ht="14.25" customHeight="1">
      <c r="B281" s="5"/>
      <c r="C281" s="5"/>
      <c r="D281" s="5"/>
      <c r="E281" s="5"/>
      <c r="F281" s="5"/>
      <c r="G281" s="5"/>
      <c r="H281" s="5"/>
      <c r="M281" s="5"/>
      <c r="N281" s="5"/>
      <c r="P281" s="5"/>
    </row>
    <row r="282" spans="2:16" ht="14.25" customHeight="1">
      <c r="B282" s="5"/>
      <c r="C282" s="5"/>
      <c r="D282" s="5"/>
      <c r="E282" s="5"/>
      <c r="F282" s="5"/>
      <c r="G282" s="5"/>
      <c r="H282" s="5"/>
      <c r="M282" s="5"/>
      <c r="N282" s="5"/>
      <c r="P282" s="5"/>
    </row>
    <row r="283" spans="2:16" ht="14.25" customHeight="1">
      <c r="B283" s="5"/>
      <c r="C283" s="5"/>
      <c r="D283" s="5"/>
      <c r="E283" s="5"/>
      <c r="F283" s="5"/>
      <c r="G283" s="5"/>
      <c r="H283" s="5"/>
      <c r="M283" s="5"/>
      <c r="N283" s="5"/>
      <c r="P283" s="5"/>
    </row>
    <row r="284" spans="2:16" ht="14.25" customHeight="1">
      <c r="B284" s="5"/>
      <c r="C284" s="5"/>
      <c r="D284" s="5"/>
      <c r="E284" s="5"/>
      <c r="F284" s="5"/>
      <c r="G284" s="5"/>
      <c r="H284" s="5"/>
      <c r="M284" s="5"/>
      <c r="N284" s="5"/>
      <c r="P284" s="5"/>
    </row>
    <row r="285" spans="2:16" ht="14.25" customHeight="1">
      <c r="B285" s="5"/>
      <c r="C285" s="5"/>
      <c r="D285" s="5"/>
      <c r="E285" s="5"/>
      <c r="F285" s="5"/>
      <c r="G285" s="5"/>
      <c r="H285" s="5"/>
      <c r="M285" s="5"/>
      <c r="N285" s="5"/>
      <c r="P285" s="5"/>
    </row>
    <row r="286" spans="2:16" ht="14.25" customHeight="1">
      <c r="B286" s="5"/>
      <c r="C286" s="5"/>
      <c r="D286" s="5"/>
      <c r="E286" s="5"/>
      <c r="F286" s="5"/>
      <c r="G286" s="5"/>
      <c r="H286" s="5"/>
      <c r="M286" s="5"/>
      <c r="N286" s="5"/>
      <c r="P286" s="5"/>
    </row>
    <row r="287" spans="2:16" ht="14.25" customHeight="1">
      <c r="B287" s="5"/>
      <c r="C287" s="5"/>
      <c r="D287" s="5"/>
      <c r="E287" s="5"/>
      <c r="F287" s="5"/>
      <c r="G287" s="5"/>
      <c r="H287" s="5"/>
      <c r="M287" s="5"/>
      <c r="N287" s="5"/>
      <c r="P287" s="5"/>
    </row>
    <row r="288" spans="2:16" ht="14.25" customHeight="1">
      <c r="B288" s="5"/>
      <c r="C288" s="5"/>
      <c r="D288" s="5"/>
      <c r="E288" s="5"/>
      <c r="F288" s="5"/>
      <c r="G288" s="5"/>
      <c r="H288" s="5"/>
      <c r="M288" s="5"/>
      <c r="N288" s="5"/>
      <c r="P288" s="5"/>
    </row>
    <row r="289" spans="2:16" ht="14.25" customHeight="1">
      <c r="B289" s="5"/>
      <c r="C289" s="5"/>
      <c r="D289" s="5"/>
      <c r="E289" s="5"/>
      <c r="F289" s="5"/>
      <c r="G289" s="5"/>
      <c r="H289" s="5"/>
      <c r="M289" s="5"/>
      <c r="N289" s="5"/>
      <c r="P289" s="5"/>
    </row>
    <row r="290" spans="2:16" ht="14.25" customHeight="1">
      <c r="B290" s="5"/>
      <c r="C290" s="5"/>
      <c r="D290" s="5"/>
      <c r="E290" s="5"/>
      <c r="F290" s="5"/>
      <c r="G290" s="5"/>
      <c r="H290" s="5"/>
      <c r="M290" s="5"/>
      <c r="N290" s="5"/>
      <c r="P290" s="5"/>
    </row>
    <row r="291" spans="2:16" ht="14.25" customHeight="1">
      <c r="B291" s="5"/>
      <c r="C291" s="5"/>
      <c r="D291" s="5"/>
      <c r="E291" s="5"/>
      <c r="F291" s="5"/>
      <c r="G291" s="5"/>
      <c r="H291" s="5"/>
      <c r="M291" s="5"/>
      <c r="N291" s="5"/>
      <c r="P291" s="5"/>
    </row>
    <row r="292" spans="2:16" ht="14.25" customHeight="1">
      <c r="B292" s="5"/>
      <c r="C292" s="5"/>
      <c r="D292" s="5"/>
      <c r="E292" s="5"/>
      <c r="F292" s="5"/>
      <c r="G292" s="5"/>
      <c r="H292" s="5"/>
      <c r="M292" s="5"/>
      <c r="N292" s="5"/>
      <c r="P292" s="5"/>
    </row>
    <row r="293" spans="2:16" ht="14.25" customHeight="1">
      <c r="B293" s="5"/>
      <c r="C293" s="5"/>
      <c r="D293" s="5"/>
      <c r="E293" s="5"/>
      <c r="F293" s="5"/>
      <c r="G293" s="5"/>
      <c r="H293" s="5"/>
      <c r="M293" s="5"/>
      <c r="N293" s="5"/>
      <c r="P293" s="5"/>
    </row>
    <row r="294" spans="2:16" ht="14.25" customHeight="1">
      <c r="B294" s="5"/>
      <c r="C294" s="5"/>
      <c r="D294" s="5"/>
      <c r="E294" s="5"/>
      <c r="F294" s="5"/>
      <c r="G294" s="5"/>
      <c r="H294" s="5"/>
      <c r="M294" s="5"/>
      <c r="N294" s="5"/>
      <c r="P294" s="5"/>
    </row>
    <row r="295" spans="2:16" ht="14.25" customHeight="1">
      <c r="B295" s="5"/>
      <c r="C295" s="5"/>
      <c r="D295" s="5"/>
      <c r="E295" s="5"/>
      <c r="F295" s="5"/>
      <c r="G295" s="5"/>
      <c r="H295" s="5"/>
      <c r="M295" s="5"/>
      <c r="N295" s="5"/>
      <c r="P295" s="5"/>
    </row>
    <row r="296" spans="2:16" ht="14.25" customHeight="1">
      <c r="B296" s="5"/>
      <c r="C296" s="5"/>
      <c r="D296" s="5"/>
      <c r="E296" s="5"/>
      <c r="F296" s="5"/>
      <c r="G296" s="5"/>
      <c r="H296" s="5"/>
      <c r="M296" s="5"/>
      <c r="N296" s="5"/>
      <c r="P296" s="5"/>
    </row>
    <row r="297" spans="2:16" ht="14.25" customHeight="1">
      <c r="B297" s="5"/>
      <c r="C297" s="5"/>
      <c r="D297" s="5"/>
      <c r="E297" s="5"/>
      <c r="F297" s="5"/>
      <c r="G297" s="5"/>
      <c r="H297" s="5"/>
      <c r="M297" s="5"/>
      <c r="N297" s="5"/>
      <c r="P297" s="5"/>
    </row>
    <row r="298" spans="2:16" ht="14.25" customHeight="1">
      <c r="B298" s="5"/>
      <c r="C298" s="5"/>
      <c r="D298" s="5"/>
      <c r="E298" s="5"/>
      <c r="F298" s="5"/>
      <c r="G298" s="5"/>
      <c r="H298" s="5"/>
      <c r="M298" s="5"/>
      <c r="N298" s="5"/>
      <c r="P298" s="5"/>
    </row>
    <row r="299" spans="2:16" ht="14.25" customHeight="1">
      <c r="B299" s="5"/>
      <c r="C299" s="5"/>
      <c r="D299" s="5"/>
      <c r="E299" s="5"/>
      <c r="F299" s="5"/>
      <c r="G299" s="5"/>
      <c r="H299" s="5"/>
      <c r="M299" s="5"/>
      <c r="N299" s="5"/>
      <c r="P299" s="5"/>
    </row>
    <row r="300" spans="2:16" ht="14.25" customHeight="1">
      <c r="B300" s="5"/>
      <c r="C300" s="5"/>
      <c r="D300" s="5"/>
      <c r="E300" s="5"/>
      <c r="F300" s="5"/>
      <c r="G300" s="5"/>
      <c r="H300" s="5"/>
      <c r="M300" s="5"/>
      <c r="N300" s="5"/>
      <c r="P300" s="5"/>
    </row>
    <row r="301" spans="2:16" ht="14.25" customHeight="1">
      <c r="B301" s="5"/>
      <c r="C301" s="5"/>
      <c r="D301" s="5"/>
      <c r="E301" s="5"/>
      <c r="F301" s="5"/>
      <c r="G301" s="5"/>
      <c r="H301" s="5"/>
      <c r="M301" s="5"/>
      <c r="N301" s="5"/>
      <c r="P301" s="5"/>
    </row>
    <row r="302" spans="2:16" ht="14.25" customHeight="1">
      <c r="B302" s="5"/>
      <c r="C302" s="5"/>
      <c r="D302" s="5"/>
      <c r="E302" s="5"/>
      <c r="F302" s="5"/>
      <c r="G302" s="5"/>
      <c r="H302" s="5"/>
      <c r="M302" s="5"/>
      <c r="N302" s="5"/>
      <c r="P302" s="5"/>
    </row>
    <row r="303" spans="2:16" ht="14.25" customHeight="1">
      <c r="B303" s="5"/>
      <c r="C303" s="5"/>
      <c r="D303" s="5"/>
      <c r="E303" s="5"/>
      <c r="F303" s="5"/>
      <c r="G303" s="5"/>
      <c r="H303" s="5"/>
      <c r="M303" s="5"/>
      <c r="N303" s="5"/>
      <c r="P303" s="5"/>
    </row>
    <row r="304" spans="2:16" ht="14.25" customHeight="1">
      <c r="B304" s="5"/>
      <c r="C304" s="5"/>
      <c r="D304" s="5"/>
      <c r="E304" s="5"/>
      <c r="F304" s="5"/>
      <c r="G304" s="5"/>
      <c r="H304" s="5"/>
      <c r="M304" s="5"/>
      <c r="N304" s="5"/>
      <c r="P304" s="5"/>
    </row>
    <row r="305" spans="2:16" ht="14.25" customHeight="1">
      <c r="B305" s="5"/>
      <c r="C305" s="5"/>
      <c r="D305" s="5"/>
      <c r="E305" s="5"/>
      <c r="F305" s="5"/>
      <c r="G305" s="5"/>
      <c r="H305" s="5"/>
      <c r="M305" s="5"/>
      <c r="N305" s="5"/>
      <c r="P305" s="5"/>
    </row>
    <row r="306" spans="2:16" ht="14.25" customHeight="1">
      <c r="B306" s="5"/>
      <c r="C306" s="5"/>
      <c r="D306" s="5"/>
      <c r="E306" s="5"/>
      <c r="F306" s="5"/>
      <c r="G306" s="5"/>
      <c r="H306" s="5"/>
      <c r="M306" s="5"/>
      <c r="N306" s="5"/>
      <c r="P306" s="5"/>
    </row>
    <row r="307" spans="2:16" ht="14.25" customHeight="1">
      <c r="B307" s="5"/>
      <c r="C307" s="5"/>
      <c r="D307" s="5"/>
      <c r="E307" s="5"/>
      <c r="F307" s="5"/>
      <c r="G307" s="5"/>
      <c r="H307" s="5"/>
      <c r="M307" s="5"/>
      <c r="N307" s="5"/>
      <c r="P307" s="5"/>
    </row>
    <row r="308" spans="2:16" ht="14.25" customHeight="1">
      <c r="B308" s="5"/>
      <c r="C308" s="5"/>
      <c r="D308" s="5"/>
      <c r="E308" s="5"/>
      <c r="F308" s="5"/>
      <c r="G308" s="5"/>
      <c r="H308" s="5"/>
      <c r="M308" s="5"/>
      <c r="N308" s="5"/>
      <c r="P308" s="5"/>
    </row>
    <row r="309" spans="2:16" ht="14.25" customHeight="1">
      <c r="B309" s="5"/>
      <c r="C309" s="5"/>
      <c r="D309" s="5"/>
      <c r="E309" s="5"/>
      <c r="F309" s="5"/>
      <c r="G309" s="5"/>
      <c r="H309" s="5"/>
      <c r="M309" s="5"/>
      <c r="N309" s="5"/>
      <c r="P309" s="5"/>
    </row>
    <row r="310" spans="2:16" ht="14.25" customHeight="1">
      <c r="B310" s="5"/>
      <c r="C310" s="5"/>
      <c r="D310" s="5"/>
      <c r="E310" s="5"/>
      <c r="F310" s="5"/>
      <c r="G310" s="5"/>
      <c r="H310" s="5"/>
      <c r="M310" s="5"/>
      <c r="N310" s="5"/>
      <c r="P310" s="5"/>
    </row>
    <row r="311" spans="2:16" ht="14.25" customHeight="1">
      <c r="B311" s="5"/>
      <c r="C311" s="5"/>
      <c r="D311" s="5"/>
      <c r="E311" s="5"/>
      <c r="F311" s="5"/>
      <c r="G311" s="5"/>
      <c r="H311" s="5"/>
      <c r="M311" s="5"/>
      <c r="N311" s="5"/>
      <c r="P311" s="5"/>
    </row>
    <row r="312" spans="2:16" ht="14.25" customHeight="1">
      <c r="B312" s="5"/>
      <c r="C312" s="5"/>
      <c r="D312" s="5"/>
      <c r="E312" s="5"/>
      <c r="F312" s="5"/>
      <c r="G312" s="5"/>
      <c r="H312" s="5"/>
      <c r="M312" s="5"/>
      <c r="N312" s="5"/>
      <c r="P312" s="5"/>
    </row>
    <row r="313" spans="2:16" ht="14.25" customHeight="1">
      <c r="B313" s="5"/>
      <c r="C313" s="5"/>
      <c r="D313" s="5"/>
      <c r="E313" s="5"/>
      <c r="F313" s="5"/>
      <c r="G313" s="5"/>
      <c r="H313" s="5"/>
      <c r="M313" s="5"/>
      <c r="N313" s="5"/>
      <c r="P313" s="5"/>
    </row>
    <row r="314" spans="2:16" ht="14.25" customHeight="1">
      <c r="B314" s="5"/>
      <c r="C314" s="5"/>
      <c r="D314" s="5"/>
      <c r="E314" s="5"/>
      <c r="F314" s="5"/>
      <c r="G314" s="5"/>
      <c r="H314" s="5"/>
      <c r="M314" s="5"/>
      <c r="N314" s="5"/>
      <c r="P314" s="5"/>
    </row>
    <row r="315" spans="2:16" ht="14.25" customHeight="1">
      <c r="B315" s="5"/>
      <c r="C315" s="5"/>
      <c r="D315" s="5"/>
      <c r="E315" s="5"/>
      <c r="F315" s="5"/>
      <c r="G315" s="5"/>
      <c r="H315" s="5"/>
      <c r="M315" s="5"/>
      <c r="N315" s="5"/>
      <c r="P315" s="5"/>
    </row>
    <row r="316" spans="2:16" ht="14.25" customHeight="1">
      <c r="B316" s="5"/>
      <c r="C316" s="5"/>
      <c r="D316" s="5"/>
      <c r="E316" s="5"/>
      <c r="F316" s="5"/>
      <c r="G316" s="5"/>
      <c r="H316" s="5"/>
      <c r="M316" s="5"/>
      <c r="N316" s="5"/>
      <c r="P316" s="5"/>
    </row>
    <row r="317" spans="2:16" ht="14.25" customHeight="1">
      <c r="B317" s="5"/>
      <c r="C317" s="5"/>
      <c r="D317" s="5"/>
      <c r="E317" s="5"/>
      <c r="F317" s="5"/>
      <c r="G317" s="5"/>
      <c r="H317" s="5"/>
      <c r="M317" s="5"/>
      <c r="N317" s="5"/>
      <c r="P317" s="5"/>
    </row>
    <row r="318" spans="2:16" ht="14.25" customHeight="1">
      <c r="B318" s="5"/>
      <c r="C318" s="5"/>
      <c r="D318" s="5"/>
      <c r="E318" s="5"/>
      <c r="F318" s="5"/>
      <c r="G318" s="5"/>
      <c r="H318" s="5"/>
      <c r="M318" s="5"/>
      <c r="N318" s="5"/>
      <c r="P318" s="5"/>
    </row>
    <row r="319" spans="2:16" ht="14.25" customHeight="1">
      <c r="B319" s="5"/>
      <c r="C319" s="5"/>
      <c r="D319" s="5"/>
      <c r="E319" s="5"/>
      <c r="F319" s="5"/>
      <c r="G319" s="5"/>
      <c r="H319" s="5"/>
      <c r="M319" s="5"/>
      <c r="N319" s="5"/>
      <c r="P319" s="5"/>
    </row>
    <row r="320" spans="2:16" ht="14.25" customHeight="1">
      <c r="B320" s="5"/>
      <c r="C320" s="5"/>
      <c r="D320" s="5"/>
      <c r="E320" s="5"/>
      <c r="F320" s="5"/>
      <c r="G320" s="5"/>
      <c r="H320" s="5"/>
      <c r="M320" s="5"/>
      <c r="N320" s="5"/>
      <c r="P320" s="5"/>
    </row>
    <row r="321" spans="2:16" ht="14.25" customHeight="1">
      <c r="B321" s="5"/>
      <c r="C321" s="5"/>
      <c r="D321" s="5"/>
      <c r="E321" s="5"/>
      <c r="F321" s="5"/>
      <c r="G321" s="5"/>
      <c r="H321" s="5"/>
      <c r="M321" s="5"/>
      <c r="N321" s="5"/>
      <c r="P321" s="5"/>
    </row>
    <row r="322" spans="2:16" ht="14.25" customHeight="1">
      <c r="B322" s="5"/>
      <c r="C322" s="5"/>
      <c r="D322" s="5"/>
      <c r="E322" s="5"/>
      <c r="F322" s="5"/>
      <c r="G322" s="5"/>
      <c r="H322" s="5"/>
      <c r="M322" s="5"/>
      <c r="N322" s="5"/>
      <c r="P322" s="5"/>
    </row>
    <row r="323" spans="2:16" ht="14.25" customHeight="1">
      <c r="B323" s="5"/>
      <c r="C323" s="5"/>
      <c r="D323" s="5"/>
      <c r="E323" s="5"/>
      <c r="F323" s="5"/>
      <c r="G323" s="5"/>
      <c r="H323" s="5"/>
      <c r="M323" s="5"/>
      <c r="N323" s="5"/>
      <c r="P323" s="5"/>
    </row>
    <row r="324" spans="2:16" ht="14.25" customHeight="1">
      <c r="B324" s="5"/>
      <c r="C324" s="5"/>
      <c r="D324" s="5"/>
      <c r="E324" s="5"/>
      <c r="F324" s="5"/>
      <c r="G324" s="5"/>
      <c r="H324" s="5"/>
      <c r="M324" s="5"/>
      <c r="N324" s="5"/>
      <c r="P324" s="5"/>
    </row>
    <row r="325" spans="2:16" ht="14.25" customHeight="1">
      <c r="B325" s="5"/>
      <c r="C325" s="5"/>
      <c r="D325" s="5"/>
      <c r="E325" s="5"/>
      <c r="F325" s="5"/>
      <c r="G325" s="5"/>
      <c r="H325" s="5"/>
      <c r="M325" s="5"/>
      <c r="N325" s="5"/>
      <c r="P325" s="5"/>
    </row>
    <row r="326" spans="2:16" ht="14.25" customHeight="1">
      <c r="B326" s="5"/>
      <c r="C326" s="5"/>
      <c r="D326" s="5"/>
      <c r="E326" s="5"/>
      <c r="F326" s="5"/>
      <c r="G326" s="5"/>
      <c r="H326" s="5"/>
      <c r="M326" s="5"/>
      <c r="N326" s="5"/>
      <c r="P326" s="5"/>
    </row>
    <row r="327" spans="2:16" ht="14.25" customHeight="1">
      <c r="B327" s="5"/>
      <c r="C327" s="5"/>
      <c r="D327" s="5"/>
      <c r="E327" s="5"/>
      <c r="F327" s="5"/>
      <c r="G327" s="5"/>
      <c r="H327" s="5"/>
      <c r="M327" s="5"/>
      <c r="N327" s="5"/>
      <c r="P327" s="5"/>
    </row>
    <row r="328" spans="2:16" ht="14.25" customHeight="1">
      <c r="B328" s="5"/>
      <c r="C328" s="5"/>
      <c r="D328" s="5"/>
      <c r="E328" s="5"/>
      <c r="F328" s="5"/>
      <c r="G328" s="5"/>
      <c r="H328" s="5"/>
      <c r="M328" s="5"/>
      <c r="N328" s="5"/>
      <c r="P328" s="5"/>
    </row>
    <row r="329" spans="2:16" ht="14.25" customHeight="1">
      <c r="B329" s="5"/>
      <c r="C329" s="5"/>
      <c r="D329" s="5"/>
      <c r="E329" s="5"/>
      <c r="F329" s="5"/>
      <c r="G329" s="5"/>
      <c r="H329" s="5"/>
      <c r="M329" s="5"/>
      <c r="N329" s="5"/>
      <c r="P329" s="5"/>
    </row>
    <row r="330" spans="2:16" ht="14.25" customHeight="1">
      <c r="B330" s="5"/>
      <c r="C330" s="5"/>
      <c r="D330" s="5"/>
      <c r="E330" s="5"/>
      <c r="F330" s="5"/>
      <c r="G330" s="5"/>
      <c r="H330" s="5"/>
      <c r="M330" s="5"/>
      <c r="N330" s="5"/>
      <c r="P330" s="5"/>
    </row>
    <row r="331" spans="2:16" ht="14.25" customHeight="1">
      <c r="B331" s="5"/>
      <c r="C331" s="5"/>
      <c r="D331" s="5"/>
      <c r="E331" s="5"/>
      <c r="F331" s="5"/>
      <c r="G331" s="5"/>
      <c r="H331" s="5"/>
      <c r="M331" s="5"/>
      <c r="N331" s="5"/>
      <c r="P331" s="5"/>
    </row>
    <row r="332" spans="2:16" ht="14.25" customHeight="1">
      <c r="B332" s="5"/>
      <c r="C332" s="5"/>
      <c r="D332" s="5"/>
      <c r="E332" s="5"/>
      <c r="F332" s="5"/>
      <c r="G332" s="5"/>
      <c r="H332" s="5"/>
      <c r="M332" s="5"/>
      <c r="N332" s="5"/>
      <c r="P332" s="5"/>
    </row>
    <row r="333" spans="2:16" ht="14.25" customHeight="1">
      <c r="B333" s="5"/>
      <c r="C333" s="5"/>
      <c r="D333" s="5"/>
      <c r="E333" s="5"/>
      <c r="F333" s="5"/>
      <c r="G333" s="5"/>
      <c r="H333" s="5"/>
      <c r="M333" s="5"/>
      <c r="N333" s="5"/>
      <c r="P333" s="5"/>
    </row>
    <row r="334" spans="2:16" ht="14.25" customHeight="1">
      <c r="B334" s="5"/>
      <c r="C334" s="5"/>
      <c r="D334" s="5"/>
      <c r="E334" s="5"/>
      <c r="F334" s="5"/>
      <c r="G334" s="5"/>
      <c r="H334" s="5"/>
      <c r="M334" s="5"/>
      <c r="N334" s="5"/>
      <c r="P334" s="5"/>
    </row>
    <row r="335" spans="2:16" ht="14.25" customHeight="1">
      <c r="B335" s="5"/>
      <c r="C335" s="5"/>
      <c r="D335" s="5"/>
      <c r="E335" s="5"/>
      <c r="F335" s="5"/>
      <c r="G335" s="5"/>
      <c r="H335" s="5"/>
      <c r="M335" s="5"/>
      <c r="N335" s="5"/>
      <c r="P335" s="5"/>
    </row>
    <row r="336" spans="2:16" ht="14.25" customHeight="1">
      <c r="B336" s="5"/>
      <c r="C336" s="5"/>
      <c r="D336" s="5"/>
      <c r="E336" s="5"/>
      <c r="F336" s="5"/>
      <c r="G336" s="5"/>
      <c r="H336" s="5"/>
      <c r="M336" s="5"/>
      <c r="N336" s="5"/>
      <c r="P336" s="5"/>
    </row>
    <row r="337" spans="2:16" ht="14.25" customHeight="1">
      <c r="B337" s="5"/>
      <c r="C337" s="5"/>
      <c r="D337" s="5"/>
      <c r="E337" s="5"/>
      <c r="F337" s="5"/>
      <c r="G337" s="5"/>
      <c r="H337" s="5"/>
      <c r="M337" s="5"/>
      <c r="N337" s="5"/>
      <c r="P337" s="5"/>
    </row>
    <row r="338" spans="2:16" ht="14.25" customHeight="1">
      <c r="B338" s="5"/>
      <c r="C338" s="5"/>
      <c r="D338" s="5"/>
      <c r="E338" s="5"/>
      <c r="F338" s="5"/>
      <c r="G338" s="5"/>
      <c r="H338" s="5"/>
      <c r="M338" s="5"/>
      <c r="N338" s="5"/>
      <c r="P338" s="5"/>
    </row>
    <row r="339" spans="2:16" ht="14.25" customHeight="1">
      <c r="B339" s="5"/>
      <c r="C339" s="5"/>
      <c r="D339" s="5"/>
      <c r="E339" s="5"/>
      <c r="F339" s="5"/>
      <c r="G339" s="5"/>
      <c r="H339" s="5"/>
      <c r="M339" s="5"/>
      <c r="N339" s="5"/>
      <c r="P339" s="5"/>
    </row>
    <row r="340" spans="2:16" ht="14.25" customHeight="1">
      <c r="B340" s="5"/>
      <c r="C340" s="5"/>
      <c r="D340" s="5"/>
      <c r="E340" s="5"/>
      <c r="F340" s="5"/>
      <c r="G340" s="5"/>
      <c r="H340" s="5"/>
      <c r="M340" s="5"/>
      <c r="N340" s="5"/>
      <c r="P340" s="5"/>
    </row>
    <row r="341" spans="2:16" ht="14.25" customHeight="1">
      <c r="B341" s="5"/>
      <c r="C341" s="5"/>
      <c r="D341" s="5"/>
      <c r="E341" s="5"/>
      <c r="F341" s="5"/>
      <c r="G341" s="5"/>
      <c r="H341" s="5"/>
      <c r="M341" s="5"/>
      <c r="N341" s="5"/>
      <c r="P341" s="5"/>
    </row>
    <row r="342" spans="2:16" ht="14.25" customHeight="1">
      <c r="B342" s="5"/>
      <c r="C342" s="5"/>
      <c r="D342" s="5"/>
      <c r="E342" s="5"/>
      <c r="F342" s="5"/>
      <c r="G342" s="5"/>
      <c r="H342" s="5"/>
      <c r="M342" s="5"/>
      <c r="N342" s="5"/>
      <c r="P342" s="5"/>
    </row>
    <row r="343" spans="2:16" ht="14.25" customHeight="1">
      <c r="B343" s="5"/>
      <c r="C343" s="5"/>
      <c r="D343" s="5"/>
      <c r="E343" s="5"/>
      <c r="F343" s="5"/>
      <c r="G343" s="5"/>
      <c r="H343" s="5"/>
      <c r="M343" s="5"/>
      <c r="N343" s="5"/>
      <c r="P343" s="5"/>
    </row>
    <row r="344" spans="2:16" ht="14.25" customHeight="1">
      <c r="B344" s="5"/>
      <c r="C344" s="5"/>
      <c r="D344" s="5"/>
      <c r="E344" s="5"/>
      <c r="F344" s="5"/>
      <c r="G344" s="5"/>
      <c r="H344" s="5"/>
      <c r="M344" s="5"/>
      <c r="N344" s="5"/>
      <c r="P344" s="5"/>
    </row>
    <row r="345" spans="2:16" ht="14.25" customHeight="1">
      <c r="B345" s="5"/>
      <c r="C345" s="5"/>
      <c r="D345" s="5"/>
      <c r="E345" s="5"/>
      <c r="F345" s="5"/>
      <c r="G345" s="5"/>
      <c r="H345" s="5"/>
      <c r="M345" s="5"/>
      <c r="N345" s="5"/>
      <c r="P345" s="5"/>
    </row>
    <row r="346" spans="2:16" ht="14.25" customHeight="1">
      <c r="B346" s="5"/>
      <c r="C346" s="5"/>
      <c r="D346" s="5"/>
      <c r="E346" s="5"/>
      <c r="F346" s="5"/>
      <c r="G346" s="5"/>
      <c r="H346" s="5"/>
      <c r="M346" s="5"/>
      <c r="N346" s="5"/>
      <c r="P346" s="5"/>
    </row>
    <row r="347" spans="2:16" ht="14.25" customHeight="1">
      <c r="B347" s="5"/>
      <c r="C347" s="5"/>
      <c r="D347" s="5"/>
      <c r="E347" s="5"/>
      <c r="F347" s="5"/>
      <c r="G347" s="5"/>
      <c r="H347" s="5"/>
      <c r="M347" s="5"/>
      <c r="N347" s="5"/>
      <c r="P347" s="5"/>
    </row>
    <row r="348" spans="2:16" ht="14.25" customHeight="1">
      <c r="B348" s="5"/>
      <c r="C348" s="5"/>
      <c r="D348" s="5"/>
      <c r="E348" s="5"/>
      <c r="F348" s="5"/>
      <c r="G348" s="5"/>
      <c r="H348" s="5"/>
      <c r="M348" s="5"/>
      <c r="N348" s="5"/>
      <c r="P348" s="5"/>
    </row>
    <row r="349" spans="2:16" ht="14.25" customHeight="1">
      <c r="B349" s="5"/>
      <c r="C349" s="5"/>
      <c r="D349" s="5"/>
      <c r="E349" s="5"/>
      <c r="F349" s="5"/>
      <c r="G349" s="5"/>
      <c r="H349" s="5"/>
      <c r="M349" s="5"/>
      <c r="N349" s="5"/>
      <c r="P349" s="5"/>
    </row>
    <row r="350" spans="2:16" ht="14.25" customHeight="1">
      <c r="B350" s="5"/>
      <c r="C350" s="5"/>
      <c r="D350" s="5"/>
      <c r="E350" s="5"/>
      <c r="F350" s="5"/>
      <c r="G350" s="5"/>
      <c r="H350" s="5"/>
      <c r="M350" s="5"/>
      <c r="N350" s="5"/>
      <c r="P350" s="5"/>
    </row>
    <row r="351" spans="2:16" ht="14.25" customHeight="1">
      <c r="B351" s="5"/>
      <c r="C351" s="5"/>
      <c r="D351" s="5"/>
      <c r="E351" s="5"/>
      <c r="F351" s="5"/>
      <c r="G351" s="5"/>
      <c r="H351" s="5"/>
      <c r="M351" s="5"/>
      <c r="N351" s="5"/>
      <c r="P351" s="5"/>
    </row>
    <row r="352" spans="2:16" ht="14.25" customHeight="1">
      <c r="B352" s="5"/>
      <c r="C352" s="5"/>
      <c r="D352" s="5"/>
      <c r="E352" s="5"/>
      <c r="F352" s="5"/>
      <c r="G352" s="5"/>
      <c r="H352" s="5"/>
      <c r="M352" s="5"/>
      <c r="N352" s="5"/>
      <c r="P352" s="5"/>
    </row>
    <row r="353" spans="2:16" ht="14.25" customHeight="1">
      <c r="B353" s="5"/>
      <c r="C353" s="5"/>
      <c r="D353" s="5"/>
      <c r="E353" s="5"/>
      <c r="F353" s="5"/>
      <c r="G353" s="5"/>
      <c r="H353" s="5"/>
      <c r="M353" s="5"/>
      <c r="N353" s="5"/>
      <c r="P353" s="5"/>
    </row>
    <row r="354" spans="2:16" ht="14.25" customHeight="1">
      <c r="B354" s="5"/>
      <c r="C354" s="5"/>
      <c r="D354" s="5"/>
      <c r="E354" s="5"/>
      <c r="F354" s="5"/>
      <c r="G354" s="5"/>
      <c r="H354" s="5"/>
      <c r="M354" s="5"/>
      <c r="N354" s="5"/>
      <c r="P354" s="5"/>
    </row>
    <row r="355" spans="2:16" ht="14.25" customHeight="1">
      <c r="B355" s="5"/>
      <c r="C355" s="5"/>
      <c r="D355" s="5"/>
      <c r="E355" s="5"/>
      <c r="F355" s="5"/>
      <c r="G355" s="5"/>
      <c r="H355" s="5"/>
      <c r="M355" s="5"/>
      <c r="N355" s="5"/>
      <c r="P355" s="5"/>
    </row>
    <row r="356" spans="2:16" ht="14.25" customHeight="1">
      <c r="B356" s="5"/>
      <c r="C356" s="5"/>
      <c r="D356" s="5"/>
      <c r="E356" s="5"/>
      <c r="F356" s="5"/>
      <c r="G356" s="5"/>
      <c r="H356" s="5"/>
      <c r="M356" s="5"/>
      <c r="N356" s="5"/>
      <c r="P356" s="5"/>
    </row>
    <row r="357" spans="2:16" ht="14.25" customHeight="1">
      <c r="B357" s="5"/>
      <c r="C357" s="5"/>
      <c r="D357" s="5"/>
      <c r="E357" s="5"/>
      <c r="F357" s="5"/>
      <c r="G357" s="5"/>
      <c r="H357" s="5"/>
      <c r="M357" s="5"/>
      <c r="N357" s="5"/>
      <c r="P357" s="5"/>
    </row>
    <row r="358" spans="2:16" ht="14.25" customHeight="1">
      <c r="B358" s="5"/>
      <c r="C358" s="5"/>
      <c r="D358" s="5"/>
      <c r="E358" s="5"/>
      <c r="F358" s="5"/>
      <c r="G358" s="5"/>
      <c r="H358" s="5"/>
      <c r="M358" s="5"/>
      <c r="N358" s="5"/>
      <c r="P358" s="5"/>
    </row>
    <row r="359" spans="2:16" ht="14.25" customHeight="1">
      <c r="B359" s="5"/>
      <c r="C359" s="5"/>
      <c r="D359" s="5"/>
      <c r="E359" s="5"/>
      <c r="F359" s="5"/>
      <c r="G359" s="5"/>
      <c r="H359" s="5"/>
      <c r="M359" s="5"/>
      <c r="N359" s="5"/>
      <c r="P359" s="5"/>
    </row>
    <row r="360" spans="2:16" ht="14.25" customHeight="1">
      <c r="B360" s="5"/>
      <c r="C360" s="5"/>
      <c r="D360" s="5"/>
      <c r="E360" s="5"/>
      <c r="F360" s="5"/>
      <c r="G360" s="5"/>
      <c r="H360" s="5"/>
      <c r="M360" s="5"/>
      <c r="N360" s="5"/>
      <c r="P360" s="5"/>
    </row>
    <row r="361" spans="2:16" ht="14.25" customHeight="1">
      <c r="B361" s="5"/>
      <c r="C361" s="5"/>
      <c r="D361" s="5"/>
      <c r="E361" s="5"/>
      <c r="F361" s="5"/>
      <c r="G361" s="5"/>
      <c r="H361" s="5"/>
      <c r="M361" s="5"/>
      <c r="N361" s="5"/>
      <c r="P361" s="5"/>
    </row>
    <row r="362" spans="2:16" ht="14.25" customHeight="1">
      <c r="B362" s="5"/>
      <c r="C362" s="5"/>
      <c r="D362" s="5"/>
      <c r="E362" s="5"/>
      <c r="F362" s="5"/>
      <c r="G362" s="5"/>
      <c r="H362" s="5"/>
      <c r="M362" s="5"/>
      <c r="N362" s="5"/>
      <c r="P362" s="5"/>
    </row>
    <row r="363" spans="2:16" ht="14.25" customHeight="1">
      <c r="B363" s="5"/>
      <c r="C363" s="5"/>
      <c r="D363" s="5"/>
      <c r="E363" s="5"/>
      <c r="F363" s="5"/>
      <c r="G363" s="5"/>
      <c r="H363" s="5"/>
      <c r="M363" s="5"/>
      <c r="N363" s="5"/>
      <c r="P363" s="5"/>
    </row>
    <row r="364" spans="2:16" ht="14.25" customHeight="1">
      <c r="B364" s="5"/>
      <c r="C364" s="5"/>
      <c r="D364" s="5"/>
      <c r="E364" s="5"/>
      <c r="F364" s="5"/>
      <c r="G364" s="5"/>
      <c r="H364" s="5"/>
      <c r="M364" s="5"/>
      <c r="N364" s="5"/>
      <c r="P364" s="5"/>
    </row>
    <row r="365" spans="2:16" ht="14.25" customHeight="1">
      <c r="B365" s="5"/>
      <c r="C365" s="5"/>
      <c r="D365" s="5"/>
      <c r="E365" s="5"/>
      <c r="F365" s="5"/>
      <c r="G365" s="5"/>
      <c r="H365" s="5"/>
      <c r="M365" s="5"/>
      <c r="N365" s="5"/>
      <c r="P365" s="5"/>
    </row>
    <row r="366" spans="2:16" ht="14.25" customHeight="1">
      <c r="B366" s="5"/>
      <c r="C366" s="5"/>
      <c r="D366" s="5"/>
      <c r="E366" s="5"/>
      <c r="F366" s="5"/>
      <c r="G366" s="5"/>
      <c r="H366" s="5"/>
      <c r="M366" s="5"/>
      <c r="N366" s="5"/>
      <c r="P366" s="5"/>
    </row>
    <row r="367" spans="2:16" ht="14.25" customHeight="1">
      <c r="B367" s="5"/>
      <c r="C367" s="5"/>
      <c r="D367" s="5"/>
      <c r="E367" s="5"/>
      <c r="F367" s="5"/>
      <c r="G367" s="5"/>
      <c r="H367" s="5"/>
      <c r="M367" s="5"/>
      <c r="N367" s="5"/>
      <c r="P367" s="5"/>
    </row>
    <row r="368" spans="2:16" ht="14.25" customHeight="1">
      <c r="B368" s="5"/>
      <c r="C368" s="5"/>
      <c r="D368" s="5"/>
      <c r="E368" s="5"/>
      <c r="F368" s="5"/>
      <c r="G368" s="5"/>
      <c r="H368" s="5"/>
      <c r="M368" s="5"/>
      <c r="N368" s="5"/>
      <c r="P368" s="5"/>
    </row>
    <row r="369" spans="2:16" ht="14.25" customHeight="1">
      <c r="B369" s="5"/>
      <c r="C369" s="5"/>
      <c r="D369" s="5"/>
      <c r="E369" s="5"/>
      <c r="F369" s="5"/>
      <c r="G369" s="5"/>
      <c r="H369" s="5"/>
      <c r="M369" s="5"/>
      <c r="N369" s="5"/>
      <c r="P369" s="5"/>
    </row>
    <row r="370" spans="2:16" ht="14.25" customHeight="1">
      <c r="B370" s="5"/>
      <c r="C370" s="5"/>
      <c r="D370" s="5"/>
      <c r="E370" s="5"/>
      <c r="F370" s="5"/>
      <c r="G370" s="5"/>
      <c r="H370" s="5"/>
      <c r="M370" s="5"/>
      <c r="N370" s="5"/>
      <c r="P370" s="5"/>
    </row>
    <row r="371" spans="2:16" ht="14.25" customHeight="1">
      <c r="B371" s="5"/>
      <c r="C371" s="5"/>
      <c r="D371" s="5"/>
      <c r="E371" s="5"/>
      <c r="F371" s="5"/>
      <c r="G371" s="5"/>
      <c r="H371" s="5"/>
      <c r="M371" s="5"/>
      <c r="N371" s="5"/>
      <c r="P371" s="5"/>
    </row>
    <row r="372" spans="2:16" ht="14.25" customHeight="1">
      <c r="B372" s="5"/>
      <c r="C372" s="5"/>
      <c r="D372" s="5"/>
      <c r="E372" s="5"/>
      <c r="F372" s="5"/>
      <c r="G372" s="5"/>
      <c r="H372" s="5"/>
      <c r="M372" s="5"/>
      <c r="N372" s="5"/>
      <c r="P372" s="5"/>
    </row>
    <row r="373" spans="2:16" ht="14.25" customHeight="1">
      <c r="B373" s="5"/>
      <c r="C373" s="5"/>
      <c r="D373" s="5"/>
      <c r="E373" s="5"/>
      <c r="F373" s="5"/>
      <c r="G373" s="5"/>
      <c r="H373" s="5"/>
      <c r="M373" s="5"/>
      <c r="N373" s="5"/>
      <c r="P373" s="5"/>
    </row>
    <row r="374" spans="2:16" ht="14.25" customHeight="1">
      <c r="B374" s="5"/>
      <c r="C374" s="5"/>
      <c r="D374" s="5"/>
      <c r="E374" s="5"/>
      <c r="F374" s="5"/>
      <c r="G374" s="5"/>
      <c r="H374" s="5"/>
      <c r="M374" s="5"/>
      <c r="N374" s="5"/>
      <c r="P374" s="5"/>
    </row>
    <row r="375" spans="2:16" ht="14.25" customHeight="1">
      <c r="B375" s="5"/>
      <c r="C375" s="5"/>
      <c r="D375" s="5"/>
      <c r="E375" s="5"/>
      <c r="F375" s="5"/>
      <c r="G375" s="5"/>
      <c r="H375" s="5"/>
      <c r="M375" s="5"/>
      <c r="N375" s="5"/>
      <c r="P375" s="5"/>
    </row>
    <row r="376" spans="2:16" ht="14.25" customHeight="1">
      <c r="B376" s="5"/>
      <c r="C376" s="5"/>
      <c r="D376" s="5"/>
      <c r="E376" s="5"/>
      <c r="F376" s="5"/>
      <c r="G376" s="5"/>
      <c r="H376" s="5"/>
      <c r="M376" s="5"/>
      <c r="N376" s="5"/>
      <c r="P376" s="5"/>
    </row>
    <row r="377" spans="2:16" ht="14.25" customHeight="1">
      <c r="B377" s="5"/>
      <c r="C377" s="5"/>
      <c r="D377" s="5"/>
      <c r="E377" s="5"/>
      <c r="F377" s="5"/>
      <c r="G377" s="5"/>
      <c r="H377" s="5"/>
      <c r="M377" s="5"/>
      <c r="N377" s="5"/>
      <c r="P377" s="5"/>
    </row>
    <row r="378" spans="2:16" ht="14.25" customHeight="1">
      <c r="B378" s="5"/>
      <c r="C378" s="5"/>
      <c r="D378" s="5"/>
      <c r="E378" s="5"/>
      <c r="F378" s="5"/>
      <c r="G378" s="5"/>
      <c r="H378" s="5"/>
      <c r="M378" s="5"/>
      <c r="N378" s="5"/>
      <c r="P378" s="5"/>
    </row>
    <row r="379" spans="2:16" ht="14.25" customHeight="1">
      <c r="B379" s="5"/>
      <c r="C379" s="5"/>
      <c r="D379" s="5"/>
      <c r="E379" s="5"/>
      <c r="F379" s="5"/>
      <c r="G379" s="5"/>
      <c r="H379" s="5"/>
      <c r="M379" s="5"/>
      <c r="N379" s="5"/>
      <c r="P379" s="5"/>
    </row>
    <row r="380" spans="2:16" ht="14.25" customHeight="1">
      <c r="B380" s="5"/>
      <c r="C380" s="5"/>
      <c r="D380" s="5"/>
      <c r="E380" s="5"/>
      <c r="F380" s="5"/>
      <c r="G380" s="5"/>
      <c r="H380" s="5"/>
      <c r="M380" s="5"/>
      <c r="N380" s="5"/>
      <c r="P380" s="5"/>
    </row>
    <row r="381" spans="2:16" ht="14.25" customHeight="1">
      <c r="B381" s="5"/>
      <c r="C381" s="5"/>
      <c r="D381" s="5"/>
      <c r="E381" s="5"/>
      <c r="F381" s="5"/>
      <c r="G381" s="5"/>
      <c r="H381" s="5"/>
      <c r="M381" s="5"/>
      <c r="N381" s="5"/>
      <c r="P381" s="5"/>
    </row>
    <row r="382" spans="2:16" ht="14.25" customHeight="1">
      <c r="B382" s="5"/>
      <c r="C382" s="5"/>
      <c r="D382" s="5"/>
      <c r="E382" s="5"/>
      <c r="F382" s="5"/>
      <c r="G382" s="5"/>
      <c r="H382" s="5"/>
      <c r="M382" s="5"/>
      <c r="N382" s="5"/>
      <c r="P382" s="5"/>
    </row>
    <row r="383" spans="2:16" ht="14.25" customHeight="1">
      <c r="B383" s="5"/>
      <c r="C383" s="5"/>
      <c r="D383" s="5"/>
      <c r="E383" s="5"/>
      <c r="F383" s="5"/>
      <c r="G383" s="5"/>
      <c r="H383" s="5"/>
      <c r="M383" s="5"/>
      <c r="N383" s="5"/>
      <c r="P383" s="5"/>
    </row>
    <row r="384" spans="2:16" ht="14.25" customHeight="1">
      <c r="B384" s="5"/>
      <c r="C384" s="5"/>
      <c r="D384" s="5"/>
      <c r="E384" s="5"/>
      <c r="F384" s="5"/>
      <c r="G384" s="5"/>
      <c r="H384" s="5"/>
      <c r="M384" s="5"/>
      <c r="N384" s="5"/>
      <c r="P384" s="5"/>
    </row>
    <row r="385" spans="2:16" ht="14.25" customHeight="1">
      <c r="B385" s="5"/>
      <c r="C385" s="5"/>
      <c r="D385" s="5"/>
      <c r="E385" s="5"/>
      <c r="F385" s="5"/>
      <c r="G385" s="5"/>
      <c r="H385" s="5"/>
      <c r="M385" s="5"/>
      <c r="N385" s="5"/>
      <c r="P385" s="5"/>
    </row>
    <row r="386" spans="2:16" ht="14.25" customHeight="1">
      <c r="B386" s="5"/>
      <c r="C386" s="5"/>
      <c r="D386" s="5"/>
      <c r="E386" s="5"/>
      <c r="F386" s="5"/>
      <c r="G386" s="5"/>
      <c r="H386" s="5"/>
      <c r="M386" s="5"/>
      <c r="N386" s="5"/>
      <c r="P386" s="5"/>
    </row>
    <row r="387" spans="2:16" ht="14.25" customHeight="1">
      <c r="B387" s="5"/>
      <c r="C387" s="5"/>
      <c r="D387" s="5"/>
      <c r="E387" s="5"/>
      <c r="F387" s="5"/>
      <c r="G387" s="5"/>
      <c r="H387" s="5"/>
      <c r="M387" s="5"/>
      <c r="N387" s="5"/>
      <c r="P387" s="5"/>
    </row>
    <row r="388" spans="2:16" ht="14.25" customHeight="1">
      <c r="B388" s="5"/>
      <c r="C388" s="5"/>
      <c r="D388" s="5"/>
      <c r="E388" s="5"/>
      <c r="F388" s="5"/>
      <c r="G388" s="5"/>
      <c r="H388" s="5"/>
      <c r="M388" s="5"/>
      <c r="N388" s="5"/>
      <c r="P388" s="5"/>
    </row>
    <row r="389" spans="2:16" ht="14.25" customHeight="1">
      <c r="B389" s="5"/>
      <c r="C389" s="5"/>
      <c r="D389" s="5"/>
      <c r="E389" s="5"/>
      <c r="F389" s="5"/>
      <c r="G389" s="5"/>
      <c r="H389" s="5"/>
      <c r="M389" s="5"/>
      <c r="N389" s="5"/>
      <c r="P389" s="5"/>
    </row>
    <row r="390" spans="2:16" ht="14.25" customHeight="1">
      <c r="B390" s="5"/>
      <c r="C390" s="5"/>
      <c r="D390" s="5"/>
      <c r="E390" s="5"/>
      <c r="F390" s="5"/>
      <c r="G390" s="5"/>
      <c r="H390" s="5"/>
      <c r="M390" s="5"/>
      <c r="N390" s="5"/>
      <c r="P390" s="5"/>
    </row>
    <row r="391" spans="2:16" ht="14.25" customHeight="1">
      <c r="B391" s="5"/>
      <c r="C391" s="5"/>
      <c r="D391" s="5"/>
      <c r="E391" s="5"/>
      <c r="F391" s="5"/>
      <c r="G391" s="5"/>
      <c r="H391" s="5"/>
      <c r="M391" s="5"/>
      <c r="N391" s="5"/>
      <c r="P391" s="5"/>
    </row>
    <row r="392" spans="2:16" ht="14.25" customHeight="1">
      <c r="B392" s="5"/>
      <c r="C392" s="5"/>
      <c r="D392" s="5"/>
      <c r="E392" s="5"/>
      <c r="F392" s="5"/>
      <c r="G392" s="5"/>
      <c r="H392" s="5"/>
      <c r="M392" s="5"/>
      <c r="N392" s="5"/>
      <c r="P392" s="5"/>
    </row>
    <row r="393" spans="2:16" ht="14.25" customHeight="1">
      <c r="B393" s="5"/>
      <c r="C393" s="5"/>
      <c r="D393" s="5"/>
      <c r="E393" s="5"/>
      <c r="F393" s="5"/>
      <c r="G393" s="5"/>
      <c r="H393" s="5"/>
      <c r="M393" s="5"/>
      <c r="N393" s="5"/>
      <c r="P393" s="5"/>
    </row>
    <row r="394" spans="2:16" ht="14.25" customHeight="1">
      <c r="B394" s="5"/>
      <c r="C394" s="5"/>
      <c r="D394" s="5"/>
      <c r="E394" s="5"/>
      <c r="F394" s="5"/>
      <c r="G394" s="5"/>
      <c r="H394" s="5"/>
      <c r="M394" s="5"/>
      <c r="N394" s="5"/>
      <c r="P394" s="5"/>
    </row>
    <row r="395" spans="2:16" ht="14.25" customHeight="1">
      <c r="B395" s="5"/>
      <c r="C395" s="5"/>
      <c r="D395" s="5"/>
      <c r="E395" s="5"/>
      <c r="F395" s="5"/>
      <c r="G395" s="5"/>
      <c r="H395" s="5"/>
      <c r="M395" s="5"/>
      <c r="N395" s="5"/>
      <c r="P395" s="5"/>
    </row>
    <row r="396" spans="2:16" ht="14.25" customHeight="1">
      <c r="B396" s="5"/>
      <c r="C396" s="5"/>
      <c r="D396" s="5"/>
      <c r="E396" s="5"/>
      <c r="F396" s="5"/>
      <c r="G396" s="5"/>
      <c r="H396" s="5"/>
      <c r="M396" s="5"/>
      <c r="N396" s="5"/>
      <c r="P396" s="5"/>
    </row>
    <row r="397" spans="2:16" ht="14.25" customHeight="1">
      <c r="B397" s="5"/>
      <c r="C397" s="5"/>
      <c r="D397" s="5"/>
      <c r="E397" s="5"/>
      <c r="F397" s="5"/>
      <c r="G397" s="5"/>
      <c r="H397" s="5"/>
      <c r="M397" s="5"/>
      <c r="N397" s="5"/>
      <c r="P397" s="5"/>
    </row>
    <row r="398" spans="2:16" ht="14.25" customHeight="1">
      <c r="B398" s="5"/>
      <c r="C398" s="5"/>
      <c r="D398" s="5"/>
      <c r="E398" s="5"/>
      <c r="F398" s="5"/>
      <c r="G398" s="5"/>
      <c r="H398" s="5"/>
      <c r="M398" s="5"/>
      <c r="N398" s="5"/>
      <c r="P398" s="5"/>
    </row>
    <row r="399" spans="2:16" ht="14.25" customHeight="1">
      <c r="B399" s="5"/>
      <c r="C399" s="5"/>
      <c r="D399" s="5"/>
      <c r="E399" s="5"/>
      <c r="F399" s="5"/>
      <c r="G399" s="5"/>
      <c r="H399" s="5"/>
      <c r="M399" s="5"/>
      <c r="N399" s="5"/>
      <c r="P399" s="5"/>
    </row>
    <row r="400" spans="2:16" ht="14.25" customHeight="1">
      <c r="B400" s="5"/>
      <c r="C400" s="5"/>
      <c r="D400" s="5"/>
      <c r="E400" s="5"/>
      <c r="F400" s="5"/>
      <c r="G400" s="5"/>
      <c r="H400" s="5"/>
      <c r="M400" s="5"/>
      <c r="N400" s="5"/>
      <c r="P400" s="5"/>
    </row>
    <row r="401" spans="2:16" ht="14.25" customHeight="1">
      <c r="B401" s="5"/>
      <c r="C401" s="5"/>
      <c r="D401" s="5"/>
      <c r="E401" s="5"/>
      <c r="F401" s="5"/>
      <c r="G401" s="5"/>
      <c r="H401" s="5"/>
      <c r="M401" s="5"/>
      <c r="N401" s="5"/>
      <c r="P401" s="5"/>
    </row>
    <row r="402" spans="2:16" ht="14.25" customHeight="1">
      <c r="B402" s="5"/>
      <c r="C402" s="5"/>
      <c r="D402" s="5"/>
      <c r="E402" s="5"/>
      <c r="F402" s="5"/>
      <c r="G402" s="5"/>
      <c r="H402" s="5"/>
      <c r="M402" s="5"/>
      <c r="N402" s="5"/>
      <c r="P402" s="5"/>
    </row>
    <row r="403" spans="2:16" ht="14.25" customHeight="1">
      <c r="B403" s="5"/>
      <c r="C403" s="5"/>
      <c r="D403" s="5"/>
      <c r="E403" s="5"/>
      <c r="F403" s="5"/>
      <c r="G403" s="5"/>
      <c r="H403" s="5"/>
      <c r="M403" s="5"/>
      <c r="N403" s="5"/>
      <c r="P403" s="5"/>
    </row>
    <row r="404" spans="2:16" ht="14.25" customHeight="1">
      <c r="B404" s="5"/>
      <c r="C404" s="5"/>
      <c r="D404" s="5"/>
      <c r="E404" s="5"/>
      <c r="F404" s="5"/>
      <c r="G404" s="5"/>
      <c r="H404" s="5"/>
      <c r="M404" s="5"/>
      <c r="N404" s="5"/>
      <c r="P404" s="5"/>
    </row>
    <row r="405" spans="2:16" ht="14.25" customHeight="1">
      <c r="B405" s="5"/>
      <c r="C405" s="5"/>
      <c r="D405" s="5"/>
      <c r="E405" s="5"/>
      <c r="F405" s="5"/>
      <c r="G405" s="5"/>
      <c r="H405" s="5"/>
      <c r="M405" s="5"/>
      <c r="N405" s="5"/>
      <c r="P405" s="5"/>
    </row>
    <row r="406" spans="2:16" ht="14.25" customHeight="1">
      <c r="B406" s="5"/>
      <c r="C406" s="5"/>
      <c r="D406" s="5"/>
      <c r="E406" s="5"/>
      <c r="F406" s="5"/>
      <c r="G406" s="5"/>
      <c r="H406" s="5"/>
      <c r="M406" s="5"/>
      <c r="N406" s="5"/>
      <c r="P406" s="5"/>
    </row>
    <row r="407" spans="2:16" ht="14.25" customHeight="1">
      <c r="B407" s="5"/>
      <c r="C407" s="5"/>
      <c r="D407" s="5"/>
      <c r="E407" s="5"/>
      <c r="F407" s="5"/>
      <c r="G407" s="5"/>
      <c r="H407" s="5"/>
      <c r="M407" s="5"/>
      <c r="N407" s="5"/>
      <c r="P407" s="5"/>
    </row>
    <row r="408" spans="2:16" ht="14.25" customHeight="1">
      <c r="B408" s="5"/>
      <c r="C408" s="5"/>
      <c r="D408" s="5"/>
      <c r="E408" s="5"/>
      <c r="F408" s="5"/>
      <c r="G408" s="5"/>
      <c r="H408" s="5"/>
      <c r="M408" s="5"/>
      <c r="N408" s="5"/>
      <c r="P408" s="5"/>
    </row>
    <row r="409" spans="2:16" ht="14.25" customHeight="1">
      <c r="B409" s="5"/>
      <c r="C409" s="5"/>
      <c r="D409" s="5"/>
      <c r="E409" s="5"/>
      <c r="F409" s="5"/>
      <c r="G409" s="5"/>
      <c r="H409" s="5"/>
      <c r="M409" s="5"/>
      <c r="N409" s="5"/>
      <c r="P409" s="5"/>
    </row>
    <row r="410" spans="2:16" ht="14.25" customHeight="1">
      <c r="B410" s="5"/>
      <c r="C410" s="5"/>
      <c r="D410" s="5"/>
      <c r="E410" s="5"/>
      <c r="F410" s="5"/>
      <c r="G410" s="5"/>
      <c r="H410" s="5"/>
      <c r="M410" s="5"/>
      <c r="N410" s="5"/>
      <c r="P410" s="5"/>
    </row>
    <row r="411" spans="2:16" ht="14.25" customHeight="1">
      <c r="B411" s="5"/>
      <c r="C411" s="5"/>
      <c r="D411" s="5"/>
      <c r="E411" s="5"/>
      <c r="F411" s="5"/>
      <c r="G411" s="5"/>
      <c r="H411" s="5"/>
      <c r="M411" s="5"/>
      <c r="N411" s="5"/>
      <c r="P411" s="5"/>
    </row>
    <row r="412" spans="2:16" ht="14.25" customHeight="1">
      <c r="B412" s="5"/>
      <c r="C412" s="5"/>
      <c r="D412" s="5"/>
      <c r="E412" s="5"/>
      <c r="F412" s="5"/>
      <c r="G412" s="5"/>
      <c r="H412" s="5"/>
      <c r="M412" s="5"/>
      <c r="N412" s="5"/>
      <c r="P412" s="5"/>
    </row>
    <row r="413" spans="2:16" ht="14.25" customHeight="1">
      <c r="B413" s="5"/>
      <c r="C413" s="5"/>
      <c r="D413" s="5"/>
      <c r="E413" s="5"/>
      <c r="F413" s="5"/>
      <c r="G413" s="5"/>
      <c r="H413" s="5"/>
      <c r="M413" s="5"/>
      <c r="N413" s="5"/>
      <c r="P413" s="5"/>
    </row>
    <row r="414" spans="2:16" ht="14.25" customHeight="1">
      <c r="B414" s="5"/>
      <c r="C414" s="5"/>
      <c r="D414" s="5"/>
      <c r="E414" s="5"/>
      <c r="F414" s="5"/>
      <c r="G414" s="5"/>
      <c r="H414" s="5"/>
      <c r="M414" s="5"/>
      <c r="N414" s="5"/>
      <c r="P414" s="5"/>
    </row>
    <row r="415" spans="2:16" ht="14.25" customHeight="1">
      <c r="B415" s="5"/>
      <c r="C415" s="5"/>
      <c r="D415" s="5"/>
      <c r="E415" s="5"/>
      <c r="F415" s="5"/>
      <c r="G415" s="5"/>
      <c r="H415" s="5"/>
      <c r="M415" s="5"/>
      <c r="N415" s="5"/>
      <c r="P415" s="5"/>
    </row>
    <row r="416" spans="2:16" ht="14.25" customHeight="1">
      <c r="B416" s="5"/>
      <c r="C416" s="5"/>
      <c r="D416" s="5"/>
      <c r="E416" s="5"/>
      <c r="F416" s="5"/>
      <c r="G416" s="5"/>
      <c r="H416" s="5"/>
      <c r="M416" s="5"/>
      <c r="N416" s="5"/>
      <c r="P416" s="5"/>
    </row>
    <row r="417" spans="2:16" ht="14.25" customHeight="1">
      <c r="B417" s="5"/>
      <c r="C417" s="5"/>
      <c r="D417" s="5"/>
      <c r="E417" s="5"/>
      <c r="F417" s="5"/>
      <c r="G417" s="5"/>
      <c r="H417" s="5"/>
      <c r="M417" s="5"/>
      <c r="N417" s="5"/>
      <c r="P417" s="5"/>
    </row>
    <row r="418" spans="2:16" ht="14.25" customHeight="1">
      <c r="B418" s="5"/>
      <c r="C418" s="5"/>
      <c r="D418" s="5"/>
      <c r="E418" s="5"/>
      <c r="F418" s="5"/>
      <c r="G418" s="5"/>
      <c r="H418" s="5"/>
      <c r="M418" s="5"/>
      <c r="N418" s="5"/>
      <c r="P418" s="5"/>
    </row>
    <row r="419" spans="2:16" ht="14.25" customHeight="1">
      <c r="B419" s="5"/>
      <c r="C419" s="5"/>
      <c r="D419" s="5"/>
      <c r="E419" s="5"/>
      <c r="F419" s="5"/>
      <c r="G419" s="5"/>
      <c r="H419" s="5"/>
      <c r="M419" s="5"/>
      <c r="N419" s="5"/>
      <c r="P419" s="5"/>
    </row>
    <row r="420" spans="2:16" ht="14.25" customHeight="1">
      <c r="B420" s="5"/>
      <c r="C420" s="5"/>
      <c r="D420" s="5"/>
      <c r="E420" s="5"/>
      <c r="F420" s="5"/>
      <c r="G420" s="5"/>
      <c r="H420" s="5"/>
      <c r="M420" s="5"/>
      <c r="N420" s="5"/>
      <c r="P420" s="5"/>
    </row>
    <row r="421" spans="2:16" ht="14.25" customHeight="1">
      <c r="B421" s="5"/>
      <c r="C421" s="5"/>
      <c r="D421" s="5"/>
      <c r="E421" s="5"/>
      <c r="F421" s="5"/>
      <c r="G421" s="5"/>
      <c r="H421" s="5"/>
      <c r="M421" s="5"/>
      <c r="N421" s="5"/>
      <c r="P421" s="5"/>
    </row>
    <row r="422" spans="2:16" ht="14.25" customHeight="1">
      <c r="B422" s="5"/>
      <c r="C422" s="5"/>
      <c r="D422" s="5"/>
      <c r="E422" s="5"/>
      <c r="F422" s="5"/>
      <c r="G422" s="5"/>
      <c r="H422" s="5"/>
      <c r="M422" s="5"/>
      <c r="N422" s="5"/>
      <c r="P422" s="5"/>
    </row>
    <row r="423" spans="2:16" ht="14.25" customHeight="1">
      <c r="B423" s="5"/>
      <c r="C423" s="5"/>
      <c r="D423" s="5"/>
      <c r="E423" s="5"/>
      <c r="F423" s="5"/>
      <c r="G423" s="5"/>
      <c r="H423" s="5"/>
      <c r="M423" s="5"/>
      <c r="N423" s="5"/>
      <c r="P423" s="5"/>
    </row>
    <row r="424" spans="2:16" ht="14.25" customHeight="1">
      <c r="B424" s="5"/>
      <c r="C424" s="5"/>
      <c r="D424" s="5"/>
      <c r="E424" s="5"/>
      <c r="F424" s="5"/>
      <c r="G424" s="5"/>
      <c r="H424" s="5"/>
      <c r="M424" s="5"/>
      <c r="N424" s="5"/>
      <c r="P424" s="5"/>
    </row>
    <row r="425" spans="2:16" ht="14.25" customHeight="1">
      <c r="B425" s="5"/>
      <c r="C425" s="5"/>
      <c r="D425" s="5"/>
      <c r="E425" s="5"/>
      <c r="F425" s="5"/>
      <c r="G425" s="5"/>
      <c r="H425" s="5"/>
      <c r="M425" s="5"/>
      <c r="N425" s="5"/>
      <c r="P425" s="5"/>
    </row>
    <row r="426" spans="2:16" ht="14.25" customHeight="1">
      <c r="B426" s="5"/>
      <c r="C426" s="5"/>
      <c r="D426" s="5"/>
      <c r="E426" s="5"/>
      <c r="F426" s="5"/>
      <c r="G426" s="5"/>
      <c r="H426" s="5"/>
      <c r="M426" s="5"/>
      <c r="N426" s="5"/>
      <c r="P426" s="5"/>
    </row>
    <row r="427" spans="2:16" ht="14.25" customHeight="1">
      <c r="B427" s="5"/>
      <c r="C427" s="5"/>
      <c r="D427" s="5"/>
      <c r="E427" s="5"/>
      <c r="F427" s="5"/>
      <c r="G427" s="5"/>
      <c r="H427" s="5"/>
      <c r="M427" s="5"/>
      <c r="N427" s="5"/>
      <c r="P427" s="5"/>
    </row>
    <row r="428" spans="2:16" ht="14.25" customHeight="1">
      <c r="B428" s="5"/>
      <c r="C428" s="5"/>
      <c r="D428" s="5"/>
      <c r="E428" s="5"/>
      <c r="F428" s="5"/>
      <c r="G428" s="5"/>
      <c r="H428" s="5"/>
      <c r="M428" s="5"/>
      <c r="N428" s="5"/>
      <c r="P428" s="5"/>
    </row>
    <row r="429" spans="2:16" ht="14.25" customHeight="1">
      <c r="B429" s="5"/>
      <c r="C429" s="5"/>
      <c r="D429" s="5"/>
      <c r="E429" s="5"/>
      <c r="F429" s="5"/>
      <c r="G429" s="5"/>
      <c r="H429" s="5"/>
      <c r="M429" s="5"/>
      <c r="N429" s="5"/>
      <c r="P429" s="5"/>
    </row>
    <row r="430" spans="2:16" ht="14.25" customHeight="1">
      <c r="B430" s="5"/>
      <c r="C430" s="5"/>
      <c r="D430" s="5"/>
      <c r="E430" s="5"/>
      <c r="F430" s="5"/>
      <c r="G430" s="5"/>
      <c r="H430" s="5"/>
      <c r="M430" s="5"/>
      <c r="N430" s="5"/>
      <c r="P430" s="5"/>
    </row>
    <row r="431" spans="2:16" ht="14.25" customHeight="1">
      <c r="B431" s="5"/>
      <c r="C431" s="5"/>
      <c r="D431" s="5"/>
      <c r="E431" s="5"/>
      <c r="F431" s="5"/>
      <c r="G431" s="5"/>
      <c r="H431" s="5"/>
      <c r="M431" s="5"/>
      <c r="N431" s="5"/>
      <c r="P431" s="5"/>
    </row>
    <row r="432" spans="2:16" ht="14.25" customHeight="1">
      <c r="B432" s="5"/>
      <c r="C432" s="5"/>
      <c r="D432" s="5"/>
      <c r="E432" s="5"/>
      <c r="F432" s="5"/>
      <c r="G432" s="5"/>
      <c r="H432" s="5"/>
      <c r="M432" s="5"/>
      <c r="N432" s="5"/>
      <c r="P432" s="5"/>
    </row>
    <row r="433" spans="2:16" ht="14.25" customHeight="1">
      <c r="B433" s="5"/>
      <c r="C433" s="5"/>
      <c r="D433" s="5"/>
      <c r="E433" s="5"/>
      <c r="F433" s="5"/>
      <c r="G433" s="5"/>
      <c r="H433" s="5"/>
      <c r="M433" s="5"/>
      <c r="N433" s="5"/>
      <c r="P433" s="5"/>
    </row>
    <row r="434" spans="2:16" ht="14.25" customHeight="1">
      <c r="B434" s="5"/>
      <c r="C434" s="5"/>
      <c r="D434" s="5"/>
      <c r="E434" s="5"/>
      <c r="F434" s="5"/>
      <c r="G434" s="5"/>
      <c r="H434" s="5"/>
      <c r="M434" s="5"/>
      <c r="N434" s="5"/>
      <c r="P434" s="5"/>
    </row>
    <row r="435" spans="2:16" ht="14.25" customHeight="1">
      <c r="B435" s="5"/>
      <c r="C435" s="5"/>
      <c r="D435" s="5"/>
      <c r="E435" s="5"/>
      <c r="F435" s="5"/>
      <c r="G435" s="5"/>
      <c r="H435" s="5"/>
      <c r="M435" s="5"/>
      <c r="N435" s="5"/>
      <c r="P435" s="5"/>
    </row>
    <row r="436" spans="2:16" ht="14.25" customHeight="1">
      <c r="B436" s="5"/>
      <c r="C436" s="5"/>
      <c r="D436" s="5"/>
      <c r="E436" s="5"/>
      <c r="F436" s="5"/>
      <c r="G436" s="5"/>
      <c r="H436" s="5"/>
      <c r="M436" s="5"/>
      <c r="N436" s="5"/>
      <c r="P436" s="5"/>
    </row>
    <row r="437" spans="2:16" ht="14.25" customHeight="1">
      <c r="B437" s="5"/>
      <c r="C437" s="5"/>
      <c r="D437" s="5"/>
      <c r="E437" s="5"/>
      <c r="F437" s="5"/>
      <c r="G437" s="5"/>
      <c r="H437" s="5"/>
      <c r="M437" s="5"/>
      <c r="N437" s="5"/>
      <c r="P437" s="5"/>
    </row>
    <row r="438" spans="2:16" ht="14.25" customHeight="1">
      <c r="B438" s="5"/>
      <c r="C438" s="5"/>
      <c r="D438" s="5"/>
      <c r="E438" s="5"/>
      <c r="F438" s="5"/>
      <c r="G438" s="5"/>
      <c r="H438" s="5"/>
      <c r="M438" s="5"/>
      <c r="N438" s="5"/>
      <c r="P438" s="5"/>
    </row>
    <row r="439" spans="2:16" ht="14.25" customHeight="1">
      <c r="B439" s="5"/>
      <c r="C439" s="5"/>
      <c r="D439" s="5"/>
      <c r="E439" s="5"/>
      <c r="F439" s="5"/>
      <c r="G439" s="5"/>
      <c r="H439" s="5"/>
      <c r="M439" s="5"/>
      <c r="N439" s="5"/>
      <c r="P439" s="5"/>
    </row>
    <row r="440" spans="2:16" ht="14.25" customHeight="1">
      <c r="B440" s="5"/>
      <c r="C440" s="5"/>
      <c r="D440" s="5"/>
      <c r="E440" s="5"/>
      <c r="F440" s="5"/>
      <c r="G440" s="5"/>
      <c r="H440" s="5"/>
      <c r="M440" s="5"/>
      <c r="N440" s="5"/>
      <c r="P440" s="5"/>
    </row>
    <row r="441" spans="2:16" ht="14.25" customHeight="1">
      <c r="B441" s="5"/>
      <c r="C441" s="5"/>
      <c r="D441" s="5"/>
      <c r="E441" s="5"/>
      <c r="F441" s="5"/>
      <c r="G441" s="5"/>
      <c r="H441" s="5"/>
      <c r="M441" s="5"/>
      <c r="N441" s="5"/>
      <c r="P441" s="5"/>
    </row>
    <row r="442" spans="2:16" ht="14.25" customHeight="1">
      <c r="B442" s="5"/>
      <c r="C442" s="5"/>
      <c r="D442" s="5"/>
      <c r="E442" s="5"/>
      <c r="F442" s="5"/>
      <c r="G442" s="5"/>
      <c r="H442" s="5"/>
      <c r="M442" s="5"/>
      <c r="N442" s="5"/>
      <c r="P442" s="5"/>
    </row>
    <row r="443" spans="2:16" ht="14.25" customHeight="1">
      <c r="B443" s="5"/>
      <c r="C443" s="5"/>
      <c r="D443" s="5"/>
      <c r="E443" s="5"/>
      <c r="F443" s="5"/>
      <c r="G443" s="5"/>
      <c r="H443" s="5"/>
      <c r="M443" s="5"/>
      <c r="N443" s="5"/>
      <c r="P443" s="5"/>
    </row>
    <row r="444" spans="2:16" ht="14.25" customHeight="1">
      <c r="B444" s="5"/>
      <c r="C444" s="5"/>
      <c r="D444" s="5"/>
      <c r="E444" s="5"/>
      <c r="F444" s="5"/>
      <c r="G444" s="5"/>
      <c r="H444" s="5"/>
      <c r="M444" s="5"/>
      <c r="N444" s="5"/>
      <c r="P444" s="5"/>
    </row>
    <row r="445" spans="2:16" ht="14.25" customHeight="1">
      <c r="B445" s="5"/>
      <c r="C445" s="5"/>
      <c r="D445" s="5"/>
      <c r="E445" s="5"/>
      <c r="F445" s="5"/>
      <c r="G445" s="5"/>
      <c r="H445" s="5"/>
      <c r="M445" s="5"/>
      <c r="N445" s="5"/>
      <c r="P445" s="5"/>
    </row>
    <row r="446" spans="2:16" ht="14.25" customHeight="1">
      <c r="B446" s="5"/>
      <c r="C446" s="5"/>
      <c r="D446" s="5"/>
      <c r="E446" s="5"/>
      <c r="F446" s="5"/>
      <c r="G446" s="5"/>
      <c r="H446" s="5"/>
      <c r="M446" s="5"/>
      <c r="N446" s="5"/>
      <c r="P446" s="5"/>
    </row>
    <row r="447" spans="2:16" ht="14.25" customHeight="1">
      <c r="B447" s="5"/>
      <c r="C447" s="5"/>
      <c r="D447" s="5"/>
      <c r="E447" s="5"/>
      <c r="F447" s="5"/>
      <c r="G447" s="5"/>
      <c r="H447" s="5"/>
      <c r="M447" s="5"/>
      <c r="N447" s="5"/>
      <c r="P447" s="5"/>
    </row>
    <row r="448" spans="2:16" ht="14.25" customHeight="1">
      <c r="B448" s="5"/>
      <c r="C448" s="5"/>
      <c r="D448" s="5"/>
      <c r="E448" s="5"/>
      <c r="F448" s="5"/>
      <c r="G448" s="5"/>
      <c r="H448" s="5"/>
      <c r="M448" s="5"/>
      <c r="N448" s="5"/>
      <c r="P448" s="5"/>
    </row>
    <row r="449" spans="2:16" ht="14.25" customHeight="1">
      <c r="B449" s="5"/>
      <c r="C449" s="5"/>
      <c r="D449" s="5"/>
      <c r="E449" s="5"/>
      <c r="F449" s="5"/>
      <c r="G449" s="5"/>
      <c r="H449" s="5"/>
      <c r="M449" s="5"/>
      <c r="N449" s="5"/>
      <c r="P449" s="5"/>
    </row>
    <row r="450" spans="2:16" ht="14.25" customHeight="1">
      <c r="B450" s="5"/>
      <c r="C450" s="5"/>
      <c r="D450" s="5"/>
      <c r="E450" s="5"/>
      <c r="F450" s="5"/>
      <c r="G450" s="5"/>
      <c r="H450" s="5"/>
      <c r="M450" s="5"/>
      <c r="N450" s="5"/>
      <c r="P450" s="5"/>
    </row>
    <row r="451" spans="2:16" ht="14.25" customHeight="1">
      <c r="B451" s="5"/>
      <c r="C451" s="5"/>
      <c r="D451" s="5"/>
      <c r="E451" s="5"/>
      <c r="F451" s="5"/>
      <c r="G451" s="5"/>
      <c r="H451" s="5"/>
      <c r="M451" s="5"/>
      <c r="N451" s="5"/>
      <c r="P451" s="5"/>
    </row>
    <row r="452" spans="2:16" ht="14.25" customHeight="1">
      <c r="B452" s="5"/>
      <c r="C452" s="5"/>
      <c r="D452" s="5"/>
      <c r="E452" s="5"/>
      <c r="F452" s="5"/>
      <c r="G452" s="5"/>
      <c r="H452" s="5"/>
      <c r="M452" s="5"/>
      <c r="N452" s="5"/>
      <c r="P452" s="5"/>
    </row>
    <row r="453" spans="2:16" ht="14.25" customHeight="1">
      <c r="B453" s="5"/>
      <c r="C453" s="5"/>
      <c r="D453" s="5"/>
      <c r="E453" s="5"/>
      <c r="F453" s="5"/>
      <c r="G453" s="5"/>
      <c r="H453" s="5"/>
      <c r="M453" s="5"/>
      <c r="N453" s="5"/>
      <c r="P453" s="5"/>
    </row>
    <row r="454" spans="2:16" ht="14.25" customHeight="1">
      <c r="B454" s="5"/>
      <c r="C454" s="5"/>
      <c r="D454" s="5"/>
      <c r="E454" s="5"/>
      <c r="F454" s="5"/>
      <c r="G454" s="5"/>
      <c r="H454" s="5"/>
      <c r="M454" s="5"/>
      <c r="N454" s="5"/>
      <c r="P454" s="5"/>
    </row>
    <row r="455" spans="2:16" ht="14.25" customHeight="1">
      <c r="B455" s="5"/>
      <c r="C455" s="5"/>
      <c r="D455" s="5"/>
      <c r="E455" s="5"/>
      <c r="F455" s="5"/>
      <c r="G455" s="5"/>
      <c r="H455" s="5"/>
      <c r="M455" s="5"/>
      <c r="N455" s="5"/>
      <c r="P455" s="5"/>
    </row>
    <row r="456" spans="2:16" ht="14.25" customHeight="1">
      <c r="B456" s="5"/>
      <c r="C456" s="5"/>
      <c r="D456" s="5"/>
      <c r="E456" s="5"/>
      <c r="F456" s="5"/>
      <c r="G456" s="5"/>
      <c r="H456" s="5"/>
      <c r="M456" s="5"/>
      <c r="N456" s="5"/>
      <c r="P456" s="5"/>
    </row>
    <row r="457" spans="2:16" ht="14.25" customHeight="1">
      <c r="B457" s="5"/>
      <c r="C457" s="5"/>
      <c r="D457" s="5"/>
      <c r="E457" s="5"/>
      <c r="F457" s="5"/>
      <c r="G457" s="5"/>
      <c r="H457" s="5"/>
      <c r="M457" s="5"/>
      <c r="N457" s="5"/>
      <c r="P457" s="5"/>
    </row>
    <row r="458" spans="2:16" ht="14.25" customHeight="1">
      <c r="B458" s="5"/>
      <c r="C458" s="5"/>
      <c r="D458" s="5"/>
      <c r="E458" s="5"/>
      <c r="F458" s="5"/>
      <c r="G458" s="5"/>
      <c r="H458" s="5"/>
      <c r="M458" s="5"/>
      <c r="N458" s="5"/>
      <c r="P458" s="5"/>
    </row>
    <row r="459" spans="2:16" ht="14.25" customHeight="1">
      <c r="B459" s="5"/>
      <c r="C459" s="5"/>
      <c r="D459" s="5"/>
      <c r="E459" s="5"/>
      <c r="F459" s="5"/>
      <c r="G459" s="5"/>
      <c r="H459" s="5"/>
      <c r="M459" s="5"/>
      <c r="N459" s="5"/>
      <c r="P459" s="5"/>
    </row>
    <row r="460" spans="2:16" ht="14.25" customHeight="1">
      <c r="B460" s="5"/>
      <c r="C460" s="5"/>
      <c r="D460" s="5"/>
      <c r="E460" s="5"/>
      <c r="F460" s="5"/>
      <c r="G460" s="5"/>
      <c r="H460" s="5"/>
      <c r="M460" s="5"/>
      <c r="N460" s="5"/>
      <c r="P460" s="5"/>
    </row>
    <row r="461" spans="2:16" ht="14.25" customHeight="1">
      <c r="B461" s="5"/>
      <c r="C461" s="5"/>
      <c r="D461" s="5"/>
      <c r="E461" s="5"/>
      <c r="F461" s="5"/>
      <c r="G461" s="5"/>
      <c r="H461" s="5"/>
      <c r="M461" s="5"/>
      <c r="N461" s="5"/>
      <c r="P461" s="5"/>
    </row>
    <row r="462" spans="2:16" ht="14.25" customHeight="1">
      <c r="B462" s="5"/>
      <c r="C462" s="5"/>
      <c r="D462" s="5"/>
      <c r="E462" s="5"/>
      <c r="F462" s="5"/>
      <c r="G462" s="5"/>
      <c r="H462" s="5"/>
      <c r="M462" s="5"/>
      <c r="N462" s="5"/>
      <c r="P462" s="5"/>
    </row>
    <row r="463" spans="2:16" ht="14.25" customHeight="1">
      <c r="B463" s="5"/>
      <c r="C463" s="5"/>
      <c r="D463" s="5"/>
      <c r="E463" s="5"/>
      <c r="F463" s="5"/>
      <c r="G463" s="5"/>
      <c r="H463" s="5"/>
      <c r="M463" s="5"/>
      <c r="N463" s="5"/>
      <c r="P463" s="5"/>
    </row>
    <row r="464" spans="2:16" ht="14.25" customHeight="1">
      <c r="B464" s="5"/>
      <c r="C464" s="5"/>
      <c r="D464" s="5"/>
      <c r="E464" s="5"/>
      <c r="F464" s="5"/>
      <c r="G464" s="5"/>
      <c r="H464" s="5"/>
      <c r="M464" s="5"/>
      <c r="N464" s="5"/>
      <c r="P464" s="5"/>
    </row>
    <row r="465" spans="2:16" ht="14.25" customHeight="1">
      <c r="B465" s="5"/>
      <c r="C465" s="5"/>
      <c r="D465" s="5"/>
      <c r="E465" s="5"/>
      <c r="F465" s="5"/>
      <c r="G465" s="5"/>
      <c r="H465" s="5"/>
      <c r="M465" s="5"/>
      <c r="N465" s="5"/>
      <c r="P465" s="5"/>
    </row>
    <row r="466" spans="2:16" ht="14.25" customHeight="1">
      <c r="B466" s="5"/>
      <c r="C466" s="5"/>
      <c r="D466" s="5"/>
      <c r="E466" s="5"/>
      <c r="F466" s="5"/>
      <c r="G466" s="5"/>
      <c r="H466" s="5"/>
      <c r="M466" s="5"/>
      <c r="N466" s="5"/>
      <c r="P466" s="5"/>
    </row>
    <row r="467" spans="2:16" ht="14.25" customHeight="1">
      <c r="B467" s="5"/>
      <c r="C467" s="5"/>
      <c r="D467" s="5"/>
      <c r="E467" s="5"/>
      <c r="F467" s="5"/>
      <c r="G467" s="5"/>
      <c r="H467" s="5"/>
      <c r="M467" s="5"/>
      <c r="N467" s="5"/>
      <c r="P467" s="5"/>
    </row>
    <row r="468" spans="2:16" ht="14.25" customHeight="1">
      <c r="B468" s="5"/>
      <c r="C468" s="5"/>
      <c r="D468" s="5"/>
      <c r="E468" s="5"/>
      <c r="F468" s="5"/>
      <c r="G468" s="5"/>
      <c r="H468" s="5"/>
      <c r="M468" s="5"/>
      <c r="N468" s="5"/>
      <c r="P468" s="5"/>
    </row>
    <row r="469" spans="2:16" ht="14.25" customHeight="1">
      <c r="B469" s="5"/>
      <c r="C469" s="5"/>
      <c r="D469" s="5"/>
      <c r="E469" s="5"/>
      <c r="F469" s="5"/>
      <c r="G469" s="5"/>
      <c r="H469" s="5"/>
      <c r="M469" s="5"/>
      <c r="N469" s="5"/>
      <c r="P469" s="5"/>
    </row>
    <row r="470" spans="2:16" ht="14.25" customHeight="1">
      <c r="B470" s="5"/>
      <c r="C470" s="5"/>
      <c r="D470" s="5"/>
      <c r="E470" s="5"/>
      <c r="F470" s="5"/>
      <c r="G470" s="5"/>
      <c r="H470" s="5"/>
      <c r="M470" s="5"/>
      <c r="N470" s="5"/>
      <c r="P470" s="5"/>
    </row>
    <row r="471" spans="2:16" ht="14.25" customHeight="1">
      <c r="B471" s="5"/>
      <c r="C471" s="5"/>
      <c r="D471" s="5"/>
      <c r="E471" s="5"/>
      <c r="F471" s="5"/>
      <c r="G471" s="5"/>
      <c r="H471" s="5"/>
      <c r="M471" s="5"/>
      <c r="N471" s="5"/>
      <c r="P471" s="5"/>
    </row>
    <row r="472" spans="2:16" ht="14.25" customHeight="1">
      <c r="B472" s="5"/>
      <c r="C472" s="5"/>
      <c r="D472" s="5"/>
      <c r="E472" s="5"/>
      <c r="F472" s="5"/>
      <c r="G472" s="5"/>
      <c r="H472" s="5"/>
      <c r="M472" s="5"/>
      <c r="N472" s="5"/>
      <c r="P472" s="5"/>
    </row>
    <row r="473" spans="2:16" ht="14.25" customHeight="1">
      <c r="B473" s="5"/>
      <c r="C473" s="5"/>
      <c r="D473" s="5"/>
      <c r="E473" s="5"/>
      <c r="F473" s="5"/>
      <c r="G473" s="5"/>
      <c r="H473" s="5"/>
      <c r="M473" s="5"/>
      <c r="N473" s="5"/>
      <c r="P473" s="5"/>
    </row>
    <row r="474" spans="2:16" ht="14.25" customHeight="1">
      <c r="B474" s="5"/>
      <c r="C474" s="5"/>
      <c r="D474" s="5"/>
      <c r="E474" s="5"/>
      <c r="F474" s="5"/>
      <c r="G474" s="5"/>
      <c r="H474" s="5"/>
      <c r="M474" s="5"/>
      <c r="N474" s="5"/>
      <c r="P474" s="5"/>
    </row>
    <row r="475" spans="2:16" ht="14.25" customHeight="1">
      <c r="B475" s="5"/>
      <c r="C475" s="5"/>
      <c r="D475" s="5"/>
      <c r="E475" s="5"/>
      <c r="F475" s="5"/>
      <c r="G475" s="5"/>
      <c r="H475" s="5"/>
      <c r="M475" s="5"/>
      <c r="N475" s="5"/>
      <c r="P475" s="5"/>
    </row>
    <row r="476" spans="2:16" ht="14.25" customHeight="1">
      <c r="B476" s="5"/>
      <c r="C476" s="5"/>
      <c r="D476" s="5"/>
      <c r="E476" s="5"/>
      <c r="F476" s="5"/>
      <c r="G476" s="5"/>
      <c r="H476" s="5"/>
      <c r="M476" s="5"/>
      <c r="N476" s="5"/>
      <c r="P476" s="5"/>
    </row>
    <row r="477" spans="2:16" ht="14.25" customHeight="1">
      <c r="B477" s="5"/>
      <c r="C477" s="5"/>
      <c r="D477" s="5"/>
      <c r="E477" s="5"/>
      <c r="F477" s="5"/>
      <c r="G477" s="5"/>
      <c r="H477" s="5"/>
      <c r="M477" s="5"/>
      <c r="N477" s="5"/>
      <c r="P477" s="5"/>
    </row>
    <row r="478" spans="2:16" ht="14.25" customHeight="1">
      <c r="B478" s="5"/>
      <c r="C478" s="5"/>
      <c r="D478" s="5"/>
      <c r="E478" s="5"/>
      <c r="F478" s="5"/>
      <c r="G478" s="5"/>
      <c r="H478" s="5"/>
      <c r="M478" s="5"/>
      <c r="N478" s="5"/>
      <c r="P478" s="5"/>
    </row>
    <row r="479" spans="2:16" ht="14.25" customHeight="1">
      <c r="B479" s="5"/>
      <c r="C479" s="5"/>
      <c r="D479" s="5"/>
      <c r="E479" s="5"/>
      <c r="F479" s="5"/>
      <c r="G479" s="5"/>
      <c r="H479" s="5"/>
      <c r="M479" s="5"/>
      <c r="N479" s="5"/>
      <c r="P479" s="5"/>
    </row>
    <row r="480" spans="2:16" ht="14.25" customHeight="1">
      <c r="B480" s="5"/>
      <c r="C480" s="5"/>
      <c r="D480" s="5"/>
      <c r="E480" s="5"/>
      <c r="F480" s="5"/>
      <c r="G480" s="5"/>
      <c r="H480" s="5"/>
      <c r="M480" s="5"/>
      <c r="N480" s="5"/>
      <c r="P480" s="5"/>
    </row>
    <row r="481" spans="2:16" ht="14.25" customHeight="1">
      <c r="B481" s="5"/>
      <c r="C481" s="5"/>
      <c r="D481" s="5"/>
      <c r="E481" s="5"/>
      <c r="F481" s="5"/>
      <c r="G481" s="5"/>
      <c r="H481" s="5"/>
      <c r="M481" s="5"/>
      <c r="N481" s="5"/>
      <c r="P481" s="5"/>
    </row>
    <row r="482" spans="2:16" ht="14.25" customHeight="1">
      <c r="B482" s="5"/>
      <c r="C482" s="5"/>
      <c r="D482" s="5"/>
      <c r="E482" s="5"/>
      <c r="F482" s="5"/>
      <c r="G482" s="5"/>
      <c r="H482" s="5"/>
      <c r="M482" s="5"/>
      <c r="N482" s="5"/>
      <c r="P482" s="5"/>
    </row>
    <row r="483" spans="2:16" ht="14.25" customHeight="1">
      <c r="B483" s="5"/>
      <c r="C483" s="5"/>
      <c r="D483" s="5"/>
      <c r="E483" s="5"/>
      <c r="F483" s="5"/>
      <c r="G483" s="5"/>
      <c r="H483" s="5"/>
      <c r="M483" s="5"/>
      <c r="N483" s="5"/>
      <c r="P483" s="5"/>
    </row>
    <row r="484" spans="2:16" ht="14.25" customHeight="1">
      <c r="B484" s="5"/>
      <c r="C484" s="5"/>
      <c r="D484" s="5"/>
      <c r="E484" s="5"/>
      <c r="F484" s="5"/>
      <c r="G484" s="5"/>
      <c r="H484" s="5"/>
      <c r="M484" s="5"/>
      <c r="N484" s="5"/>
      <c r="P484" s="5"/>
    </row>
    <row r="485" spans="2:16" ht="14.25" customHeight="1">
      <c r="B485" s="5"/>
      <c r="C485" s="5"/>
      <c r="D485" s="5"/>
      <c r="E485" s="5"/>
      <c r="F485" s="5"/>
      <c r="G485" s="5"/>
      <c r="H485" s="5"/>
      <c r="M485" s="5"/>
      <c r="N485" s="5"/>
      <c r="P485" s="5"/>
    </row>
    <row r="486" spans="2:16" ht="14.25" customHeight="1">
      <c r="B486" s="5"/>
      <c r="C486" s="5"/>
      <c r="D486" s="5"/>
      <c r="E486" s="5"/>
      <c r="F486" s="5"/>
      <c r="G486" s="5"/>
      <c r="H486" s="5"/>
      <c r="M486" s="5"/>
      <c r="N486" s="5"/>
      <c r="P486" s="5"/>
    </row>
    <row r="487" spans="2:16" ht="14.25" customHeight="1">
      <c r="B487" s="5"/>
      <c r="C487" s="5"/>
      <c r="D487" s="5"/>
      <c r="E487" s="5"/>
      <c r="F487" s="5"/>
      <c r="G487" s="5"/>
      <c r="H487" s="5"/>
      <c r="M487" s="5"/>
      <c r="N487" s="5"/>
      <c r="P487" s="5"/>
    </row>
    <row r="488" spans="2:16" ht="14.25" customHeight="1">
      <c r="B488" s="5"/>
      <c r="C488" s="5"/>
      <c r="D488" s="5"/>
      <c r="E488" s="5"/>
      <c r="F488" s="5"/>
      <c r="G488" s="5"/>
      <c r="H488" s="5"/>
      <c r="M488" s="5"/>
      <c r="N488" s="5"/>
      <c r="P488" s="5"/>
    </row>
    <row r="489" spans="2:16" ht="14.25" customHeight="1">
      <c r="B489" s="5"/>
      <c r="C489" s="5"/>
      <c r="D489" s="5"/>
      <c r="E489" s="5"/>
      <c r="F489" s="5"/>
      <c r="G489" s="5"/>
      <c r="H489" s="5"/>
      <c r="M489" s="5"/>
      <c r="N489" s="5"/>
      <c r="P489" s="5"/>
    </row>
    <row r="490" spans="2:16" ht="14.25" customHeight="1">
      <c r="B490" s="5"/>
      <c r="C490" s="5"/>
      <c r="D490" s="5"/>
      <c r="E490" s="5"/>
      <c r="F490" s="5"/>
      <c r="G490" s="5"/>
      <c r="H490" s="5"/>
      <c r="M490" s="5"/>
      <c r="N490" s="5"/>
      <c r="P490" s="5"/>
    </row>
    <row r="491" spans="2:16" ht="14.25" customHeight="1">
      <c r="B491" s="5"/>
      <c r="C491" s="5"/>
      <c r="D491" s="5"/>
      <c r="E491" s="5"/>
      <c r="F491" s="5"/>
      <c r="G491" s="5"/>
      <c r="H491" s="5"/>
      <c r="M491" s="5"/>
      <c r="N491" s="5"/>
      <c r="P491" s="5"/>
    </row>
    <row r="492" spans="2:16" ht="14.25" customHeight="1">
      <c r="B492" s="5"/>
      <c r="C492" s="5"/>
      <c r="D492" s="5"/>
      <c r="E492" s="5"/>
      <c r="F492" s="5"/>
      <c r="G492" s="5"/>
      <c r="H492" s="5"/>
      <c r="M492" s="5"/>
      <c r="N492" s="5"/>
      <c r="P492" s="5"/>
    </row>
    <row r="493" spans="2:16" ht="14.25" customHeight="1">
      <c r="B493" s="5"/>
      <c r="C493" s="5"/>
      <c r="D493" s="5"/>
      <c r="E493" s="5"/>
      <c r="F493" s="5"/>
      <c r="G493" s="5"/>
      <c r="H493" s="5"/>
      <c r="M493" s="5"/>
      <c r="N493" s="5"/>
      <c r="P493" s="5"/>
    </row>
    <row r="494" spans="2:16" ht="14.25" customHeight="1">
      <c r="B494" s="5"/>
      <c r="C494" s="5"/>
      <c r="D494" s="5"/>
      <c r="E494" s="5"/>
      <c r="F494" s="5"/>
      <c r="G494" s="5"/>
      <c r="H494" s="5"/>
      <c r="M494" s="5"/>
      <c r="N494" s="5"/>
      <c r="P494" s="5"/>
    </row>
    <row r="495" spans="2:16" ht="14.25" customHeight="1">
      <c r="B495" s="5"/>
      <c r="C495" s="5"/>
      <c r="D495" s="5"/>
      <c r="E495" s="5"/>
      <c r="F495" s="5"/>
      <c r="G495" s="5"/>
      <c r="H495" s="5"/>
      <c r="M495" s="5"/>
      <c r="N495" s="5"/>
      <c r="P495" s="5"/>
    </row>
    <row r="496" spans="2:16" ht="14.25" customHeight="1">
      <c r="B496" s="5"/>
      <c r="C496" s="5"/>
      <c r="D496" s="5"/>
      <c r="E496" s="5"/>
      <c r="F496" s="5"/>
      <c r="G496" s="5"/>
      <c r="H496" s="5"/>
      <c r="M496" s="5"/>
      <c r="N496" s="5"/>
      <c r="P496" s="5"/>
    </row>
    <row r="497" spans="2:16" ht="14.25" customHeight="1">
      <c r="B497" s="5"/>
      <c r="C497" s="5"/>
      <c r="D497" s="5"/>
      <c r="E497" s="5"/>
      <c r="F497" s="5"/>
      <c r="G497" s="5"/>
      <c r="H497" s="5"/>
      <c r="M497" s="5"/>
      <c r="N497" s="5"/>
      <c r="P497" s="5"/>
    </row>
    <row r="498" spans="2:16" ht="14.25" customHeight="1">
      <c r="B498" s="5"/>
      <c r="C498" s="5"/>
      <c r="D498" s="5"/>
      <c r="E498" s="5"/>
      <c r="F498" s="5"/>
      <c r="G498" s="5"/>
      <c r="H498" s="5"/>
      <c r="M498" s="5"/>
      <c r="N498" s="5"/>
      <c r="P498" s="5"/>
    </row>
    <row r="499" spans="2:16" ht="14.25" customHeight="1">
      <c r="B499" s="5"/>
      <c r="C499" s="5"/>
      <c r="D499" s="5"/>
      <c r="E499" s="5"/>
      <c r="F499" s="5"/>
      <c r="G499" s="5"/>
      <c r="H499" s="5"/>
      <c r="M499" s="5"/>
      <c r="N499" s="5"/>
      <c r="P499" s="5"/>
    </row>
    <row r="500" spans="2:16" ht="14.25" customHeight="1">
      <c r="B500" s="5"/>
      <c r="C500" s="5"/>
      <c r="D500" s="5"/>
      <c r="E500" s="5"/>
      <c r="F500" s="5"/>
      <c r="G500" s="5"/>
      <c r="H500" s="5"/>
      <c r="M500" s="5"/>
      <c r="N500" s="5"/>
      <c r="P500" s="5"/>
    </row>
    <row r="501" spans="2:16" ht="14.25" customHeight="1">
      <c r="B501" s="5"/>
      <c r="C501" s="5"/>
      <c r="D501" s="5"/>
      <c r="E501" s="5"/>
      <c r="F501" s="5"/>
      <c r="G501" s="5"/>
      <c r="H501" s="5"/>
      <c r="M501" s="5"/>
      <c r="N501" s="5"/>
      <c r="P501" s="5"/>
    </row>
    <row r="502" spans="2:16" ht="14.25" customHeight="1">
      <c r="B502" s="5"/>
      <c r="C502" s="5"/>
      <c r="D502" s="5"/>
      <c r="E502" s="5"/>
      <c r="F502" s="5"/>
      <c r="G502" s="5"/>
      <c r="H502" s="5"/>
      <c r="M502" s="5"/>
      <c r="N502" s="5"/>
      <c r="P502" s="5"/>
    </row>
    <row r="503" spans="2:16" ht="14.25" customHeight="1">
      <c r="B503" s="5"/>
      <c r="C503" s="5"/>
      <c r="D503" s="5"/>
      <c r="E503" s="5"/>
      <c r="F503" s="5"/>
      <c r="G503" s="5"/>
      <c r="H503" s="5"/>
      <c r="M503" s="5"/>
      <c r="N503" s="5"/>
      <c r="P503" s="5"/>
    </row>
    <row r="504" spans="2:16" ht="14.25" customHeight="1">
      <c r="B504" s="5"/>
      <c r="C504" s="5"/>
      <c r="D504" s="5"/>
      <c r="E504" s="5"/>
      <c r="F504" s="5"/>
      <c r="G504" s="5"/>
      <c r="H504" s="5"/>
      <c r="M504" s="5"/>
      <c r="N504" s="5"/>
      <c r="P504" s="5"/>
    </row>
    <row r="505" spans="2:16" ht="14.25" customHeight="1">
      <c r="B505" s="5"/>
      <c r="C505" s="5"/>
      <c r="D505" s="5"/>
      <c r="E505" s="5"/>
      <c r="F505" s="5"/>
      <c r="G505" s="5"/>
      <c r="H505" s="5"/>
      <c r="M505" s="5"/>
      <c r="N505" s="5"/>
      <c r="P505" s="5"/>
    </row>
    <row r="506" spans="2:16" ht="14.25" customHeight="1">
      <c r="B506" s="5"/>
      <c r="C506" s="5"/>
      <c r="D506" s="5"/>
      <c r="E506" s="5"/>
      <c r="F506" s="5"/>
      <c r="G506" s="5"/>
      <c r="H506" s="5"/>
      <c r="M506" s="5"/>
      <c r="N506" s="5"/>
      <c r="P506" s="5"/>
    </row>
    <row r="507" spans="2:16" ht="14.25" customHeight="1">
      <c r="B507" s="5"/>
      <c r="C507" s="5"/>
      <c r="D507" s="5"/>
      <c r="E507" s="5"/>
      <c r="F507" s="5"/>
      <c r="G507" s="5"/>
      <c r="H507" s="5"/>
      <c r="M507" s="5"/>
      <c r="N507" s="5"/>
      <c r="P507" s="5"/>
    </row>
    <row r="508" spans="2:16" ht="14.25" customHeight="1">
      <c r="B508" s="5"/>
      <c r="C508" s="5"/>
      <c r="D508" s="5"/>
      <c r="E508" s="5"/>
      <c r="F508" s="5"/>
      <c r="G508" s="5"/>
      <c r="H508" s="5"/>
      <c r="M508" s="5"/>
      <c r="N508" s="5"/>
      <c r="P508" s="5"/>
    </row>
    <row r="509" spans="2:16" ht="14.25" customHeight="1">
      <c r="B509" s="5"/>
      <c r="C509" s="5"/>
      <c r="D509" s="5"/>
      <c r="E509" s="5"/>
      <c r="F509" s="5"/>
      <c r="G509" s="5"/>
      <c r="H509" s="5"/>
      <c r="M509" s="5"/>
      <c r="N509" s="5"/>
      <c r="P509" s="5"/>
    </row>
    <row r="510" spans="2:16" ht="14.25" customHeight="1">
      <c r="B510" s="5"/>
      <c r="C510" s="5"/>
      <c r="D510" s="5"/>
      <c r="E510" s="5"/>
      <c r="F510" s="5"/>
      <c r="G510" s="5"/>
      <c r="H510" s="5"/>
      <c r="M510" s="5"/>
      <c r="N510" s="5"/>
      <c r="P510" s="5"/>
    </row>
    <row r="511" spans="2:16" ht="14.25" customHeight="1">
      <c r="B511" s="5"/>
      <c r="C511" s="5"/>
      <c r="D511" s="5"/>
      <c r="E511" s="5"/>
      <c r="F511" s="5"/>
      <c r="G511" s="5"/>
      <c r="H511" s="5"/>
      <c r="M511" s="5"/>
      <c r="N511" s="5"/>
      <c r="P511" s="5"/>
    </row>
    <row r="512" spans="2:16" ht="14.25" customHeight="1">
      <c r="B512" s="5"/>
      <c r="C512" s="5"/>
      <c r="D512" s="5"/>
      <c r="E512" s="5"/>
      <c r="F512" s="5"/>
      <c r="G512" s="5"/>
      <c r="H512" s="5"/>
      <c r="M512" s="5"/>
      <c r="N512" s="5"/>
      <c r="P512" s="5"/>
    </row>
    <row r="513" spans="2:16" ht="14.25" customHeight="1">
      <c r="B513" s="5"/>
      <c r="C513" s="5"/>
      <c r="D513" s="5"/>
      <c r="E513" s="5"/>
      <c r="F513" s="5"/>
      <c r="G513" s="5"/>
      <c r="H513" s="5"/>
      <c r="M513" s="5"/>
      <c r="N513" s="5"/>
      <c r="P513" s="5"/>
    </row>
    <row r="514" spans="2:16" ht="14.25" customHeight="1">
      <c r="B514" s="5"/>
      <c r="C514" s="5"/>
      <c r="D514" s="5"/>
      <c r="E514" s="5"/>
      <c r="F514" s="5"/>
      <c r="G514" s="5"/>
      <c r="H514" s="5"/>
      <c r="M514" s="5"/>
      <c r="N514" s="5"/>
      <c r="P514" s="5"/>
    </row>
    <row r="515" spans="2:16" ht="14.25" customHeight="1">
      <c r="B515" s="5"/>
      <c r="C515" s="5"/>
      <c r="D515" s="5"/>
      <c r="E515" s="5"/>
      <c r="F515" s="5"/>
      <c r="G515" s="5"/>
      <c r="H515" s="5"/>
      <c r="M515" s="5"/>
      <c r="N515" s="5"/>
      <c r="P515" s="5"/>
    </row>
    <row r="516" spans="2:16" ht="14.25" customHeight="1">
      <c r="B516" s="5"/>
      <c r="C516" s="5"/>
      <c r="D516" s="5"/>
      <c r="E516" s="5"/>
      <c r="F516" s="5"/>
      <c r="G516" s="5"/>
      <c r="H516" s="5"/>
      <c r="M516" s="5"/>
      <c r="N516" s="5"/>
      <c r="P516" s="5"/>
    </row>
    <row r="517" spans="2:16" ht="14.25" customHeight="1">
      <c r="B517" s="5"/>
      <c r="C517" s="5"/>
      <c r="D517" s="5"/>
      <c r="E517" s="5"/>
      <c r="F517" s="5"/>
      <c r="G517" s="5"/>
      <c r="H517" s="5"/>
      <c r="M517" s="5"/>
      <c r="N517" s="5"/>
      <c r="P517" s="5"/>
    </row>
    <row r="518" spans="2:16" ht="14.25" customHeight="1">
      <c r="B518" s="5"/>
      <c r="C518" s="5"/>
      <c r="D518" s="5"/>
      <c r="E518" s="5"/>
      <c r="F518" s="5"/>
      <c r="G518" s="5"/>
      <c r="H518" s="5"/>
      <c r="M518" s="5"/>
      <c r="N518" s="5"/>
      <c r="P518" s="5"/>
    </row>
    <row r="519" spans="2:16" ht="14.25" customHeight="1">
      <c r="B519" s="5"/>
      <c r="C519" s="5"/>
      <c r="D519" s="5"/>
      <c r="E519" s="5"/>
      <c r="F519" s="5"/>
      <c r="G519" s="5"/>
      <c r="H519" s="5"/>
      <c r="M519" s="5"/>
      <c r="N519" s="5"/>
      <c r="P519" s="5"/>
    </row>
    <row r="520" spans="2:16" ht="14.25" customHeight="1">
      <c r="B520" s="5"/>
      <c r="C520" s="5"/>
      <c r="D520" s="5"/>
      <c r="E520" s="5"/>
      <c r="F520" s="5"/>
      <c r="G520" s="5"/>
      <c r="H520" s="5"/>
      <c r="M520" s="5"/>
      <c r="N520" s="5"/>
      <c r="P520" s="5"/>
    </row>
    <row r="521" spans="2:16" ht="14.25" customHeight="1">
      <c r="B521" s="5"/>
      <c r="C521" s="5"/>
      <c r="D521" s="5"/>
      <c r="E521" s="5"/>
      <c r="F521" s="5"/>
      <c r="G521" s="5"/>
      <c r="H521" s="5"/>
      <c r="M521" s="5"/>
      <c r="N521" s="5"/>
      <c r="P521" s="5"/>
    </row>
    <row r="522" spans="2:16" ht="14.25" customHeight="1">
      <c r="B522" s="5"/>
      <c r="C522" s="5"/>
      <c r="D522" s="5"/>
      <c r="E522" s="5"/>
      <c r="F522" s="5"/>
      <c r="G522" s="5"/>
      <c r="H522" s="5"/>
      <c r="M522" s="5"/>
      <c r="N522" s="5"/>
      <c r="P522" s="5"/>
    </row>
    <row r="523" spans="2:16" ht="14.25" customHeight="1">
      <c r="B523" s="5"/>
      <c r="C523" s="5"/>
      <c r="D523" s="5"/>
      <c r="E523" s="5"/>
      <c r="F523" s="5"/>
      <c r="G523" s="5"/>
      <c r="H523" s="5"/>
      <c r="M523" s="5"/>
      <c r="N523" s="5"/>
      <c r="P523" s="5"/>
    </row>
    <row r="524" spans="2:16" ht="14.25" customHeight="1">
      <c r="B524" s="5"/>
      <c r="C524" s="5"/>
      <c r="D524" s="5"/>
      <c r="E524" s="5"/>
      <c r="F524" s="5"/>
      <c r="G524" s="5"/>
      <c r="H524" s="5"/>
      <c r="M524" s="5"/>
      <c r="N524" s="5"/>
      <c r="P524" s="5"/>
    </row>
    <row r="525" spans="2:16" ht="14.25" customHeight="1">
      <c r="B525" s="5"/>
      <c r="C525" s="5"/>
      <c r="D525" s="5"/>
      <c r="E525" s="5"/>
      <c r="F525" s="5"/>
      <c r="G525" s="5"/>
      <c r="H525" s="5"/>
      <c r="M525" s="5"/>
      <c r="N525" s="5"/>
      <c r="P525" s="5"/>
    </row>
    <row r="526" spans="2:16" ht="14.25" customHeight="1">
      <c r="B526" s="5"/>
      <c r="C526" s="5"/>
      <c r="D526" s="5"/>
      <c r="E526" s="5"/>
      <c r="F526" s="5"/>
      <c r="G526" s="5"/>
      <c r="H526" s="5"/>
      <c r="M526" s="5"/>
      <c r="N526" s="5"/>
      <c r="P526" s="5"/>
    </row>
    <row r="527" spans="2:16" ht="14.25" customHeight="1">
      <c r="B527" s="5"/>
      <c r="C527" s="5"/>
      <c r="D527" s="5"/>
      <c r="E527" s="5"/>
      <c r="F527" s="5"/>
      <c r="G527" s="5"/>
      <c r="H527" s="5"/>
      <c r="M527" s="5"/>
      <c r="N527" s="5"/>
      <c r="P527" s="5"/>
    </row>
    <row r="528" spans="2:16" ht="14.25" customHeight="1">
      <c r="B528" s="5"/>
      <c r="C528" s="5"/>
      <c r="D528" s="5"/>
      <c r="E528" s="5"/>
      <c r="F528" s="5"/>
      <c r="G528" s="5"/>
      <c r="H528" s="5"/>
      <c r="M528" s="5"/>
      <c r="N528" s="5"/>
      <c r="P528" s="5"/>
    </row>
    <row r="529" spans="2:16" ht="14.25" customHeight="1">
      <c r="B529" s="5"/>
      <c r="C529" s="5"/>
      <c r="D529" s="5"/>
      <c r="E529" s="5"/>
      <c r="F529" s="5"/>
      <c r="G529" s="5"/>
      <c r="H529" s="5"/>
      <c r="M529" s="5"/>
      <c r="N529" s="5"/>
      <c r="P529" s="5"/>
    </row>
    <row r="530" spans="2:16" ht="14.25" customHeight="1">
      <c r="B530" s="5"/>
      <c r="C530" s="5"/>
      <c r="D530" s="5"/>
      <c r="E530" s="5"/>
      <c r="F530" s="5"/>
      <c r="G530" s="5"/>
      <c r="H530" s="5"/>
      <c r="M530" s="5"/>
      <c r="N530" s="5"/>
      <c r="P530" s="5"/>
    </row>
    <row r="531" spans="2:16" ht="14.25" customHeight="1">
      <c r="B531" s="5"/>
      <c r="C531" s="5"/>
      <c r="D531" s="5"/>
      <c r="E531" s="5"/>
      <c r="F531" s="5"/>
      <c r="G531" s="5"/>
      <c r="H531" s="5"/>
      <c r="M531" s="5"/>
      <c r="N531" s="5"/>
      <c r="P531" s="5"/>
    </row>
    <row r="532" spans="2:16" ht="14.25" customHeight="1">
      <c r="B532" s="5"/>
      <c r="C532" s="5"/>
      <c r="D532" s="5"/>
      <c r="E532" s="5"/>
      <c r="F532" s="5"/>
      <c r="G532" s="5"/>
      <c r="H532" s="5"/>
      <c r="M532" s="5"/>
      <c r="N532" s="5"/>
      <c r="P532" s="5"/>
    </row>
    <row r="533" spans="2:16" ht="14.25" customHeight="1">
      <c r="B533" s="5"/>
      <c r="C533" s="5"/>
      <c r="D533" s="5"/>
      <c r="E533" s="5"/>
      <c r="F533" s="5"/>
      <c r="G533" s="5"/>
      <c r="H533" s="5"/>
      <c r="M533" s="5"/>
      <c r="N533" s="5"/>
      <c r="P533" s="5"/>
    </row>
    <row r="534" spans="2:16" ht="14.25" customHeight="1">
      <c r="B534" s="5"/>
      <c r="C534" s="5"/>
      <c r="D534" s="5"/>
      <c r="E534" s="5"/>
      <c r="F534" s="5"/>
      <c r="G534" s="5"/>
      <c r="H534" s="5"/>
      <c r="M534" s="5"/>
      <c r="N534" s="5"/>
      <c r="P534" s="5"/>
    </row>
    <row r="535" spans="2:16" ht="14.25" customHeight="1">
      <c r="B535" s="5"/>
      <c r="C535" s="5"/>
      <c r="D535" s="5"/>
      <c r="E535" s="5"/>
      <c r="F535" s="5"/>
      <c r="G535" s="5"/>
      <c r="H535" s="5"/>
      <c r="M535" s="5"/>
      <c r="N535" s="5"/>
      <c r="P535" s="5"/>
    </row>
    <row r="536" spans="2:16" ht="14.25" customHeight="1">
      <c r="B536" s="5"/>
      <c r="C536" s="5"/>
      <c r="D536" s="5"/>
      <c r="E536" s="5"/>
      <c r="F536" s="5"/>
      <c r="G536" s="5"/>
      <c r="H536" s="5"/>
      <c r="M536" s="5"/>
      <c r="N536" s="5"/>
      <c r="P536" s="5"/>
    </row>
    <row r="537" spans="2:16" ht="14.25" customHeight="1">
      <c r="B537" s="5"/>
      <c r="C537" s="5"/>
      <c r="D537" s="5"/>
      <c r="E537" s="5"/>
      <c r="F537" s="5"/>
      <c r="G537" s="5"/>
      <c r="H537" s="5"/>
      <c r="M537" s="5"/>
      <c r="N537" s="5"/>
      <c r="P537" s="5"/>
    </row>
    <row r="538" spans="2:16" ht="14.25" customHeight="1">
      <c r="B538" s="5"/>
      <c r="C538" s="5"/>
      <c r="D538" s="5"/>
      <c r="E538" s="5"/>
      <c r="F538" s="5"/>
      <c r="G538" s="5"/>
      <c r="H538" s="5"/>
      <c r="M538" s="5"/>
      <c r="N538" s="5"/>
      <c r="P538" s="5"/>
    </row>
    <row r="539" spans="2:16" ht="14.25" customHeight="1">
      <c r="B539" s="5"/>
      <c r="C539" s="5"/>
      <c r="D539" s="5"/>
      <c r="E539" s="5"/>
      <c r="F539" s="5"/>
      <c r="G539" s="5"/>
      <c r="H539" s="5"/>
      <c r="M539" s="5"/>
      <c r="N539" s="5"/>
      <c r="P539" s="5"/>
    </row>
    <row r="540" spans="2:16" ht="14.25" customHeight="1">
      <c r="B540" s="5"/>
      <c r="C540" s="5"/>
      <c r="D540" s="5"/>
      <c r="E540" s="5"/>
      <c r="F540" s="5"/>
      <c r="G540" s="5"/>
      <c r="H540" s="5"/>
      <c r="M540" s="5"/>
      <c r="N540" s="5"/>
      <c r="P540" s="5"/>
    </row>
    <row r="541" spans="2:16" ht="14.25" customHeight="1">
      <c r="B541" s="5"/>
      <c r="C541" s="5"/>
      <c r="D541" s="5"/>
      <c r="E541" s="5"/>
      <c r="F541" s="5"/>
      <c r="G541" s="5"/>
      <c r="H541" s="5"/>
      <c r="M541" s="5"/>
      <c r="N541" s="5"/>
      <c r="P541" s="5"/>
    </row>
    <row r="542" spans="2:16" ht="14.25" customHeight="1">
      <c r="B542" s="5"/>
      <c r="C542" s="5"/>
      <c r="D542" s="5"/>
      <c r="E542" s="5"/>
      <c r="F542" s="5"/>
      <c r="G542" s="5"/>
      <c r="H542" s="5"/>
      <c r="M542" s="5"/>
      <c r="N542" s="5"/>
      <c r="P542" s="5"/>
    </row>
    <row r="543" spans="2:16" ht="14.25" customHeight="1">
      <c r="B543" s="5"/>
      <c r="C543" s="5"/>
      <c r="D543" s="5"/>
      <c r="E543" s="5"/>
      <c r="F543" s="5"/>
      <c r="G543" s="5"/>
      <c r="H543" s="5"/>
      <c r="M543" s="5"/>
      <c r="N543" s="5"/>
      <c r="P543" s="5"/>
    </row>
    <row r="544" spans="2:16" ht="14.25" customHeight="1">
      <c r="B544" s="5"/>
      <c r="C544" s="5"/>
      <c r="D544" s="5"/>
      <c r="E544" s="5"/>
      <c r="F544" s="5"/>
      <c r="G544" s="5"/>
      <c r="H544" s="5"/>
      <c r="M544" s="5"/>
      <c r="N544" s="5"/>
      <c r="P544" s="5"/>
    </row>
    <row r="545" spans="2:16" ht="14.25" customHeight="1">
      <c r="B545" s="5"/>
      <c r="C545" s="5"/>
      <c r="D545" s="5"/>
      <c r="E545" s="5"/>
      <c r="F545" s="5"/>
      <c r="G545" s="5"/>
      <c r="H545" s="5"/>
      <c r="M545" s="5"/>
      <c r="N545" s="5"/>
      <c r="P545" s="5"/>
    </row>
    <row r="546" spans="2:16" ht="14.25" customHeight="1">
      <c r="B546" s="5"/>
      <c r="C546" s="5"/>
      <c r="D546" s="5"/>
      <c r="E546" s="5"/>
      <c r="F546" s="5"/>
      <c r="G546" s="5"/>
      <c r="H546" s="5"/>
      <c r="M546" s="5"/>
      <c r="N546" s="5"/>
      <c r="P546" s="5"/>
    </row>
    <row r="547" spans="2:16" ht="14.25" customHeight="1">
      <c r="B547" s="5"/>
      <c r="C547" s="5"/>
      <c r="D547" s="5"/>
      <c r="E547" s="5"/>
      <c r="F547" s="5"/>
      <c r="G547" s="5"/>
      <c r="H547" s="5"/>
      <c r="M547" s="5"/>
      <c r="N547" s="5"/>
      <c r="P547" s="5"/>
    </row>
    <row r="548" spans="2:16" ht="14.25" customHeight="1">
      <c r="B548" s="5"/>
      <c r="C548" s="5"/>
      <c r="D548" s="5"/>
      <c r="E548" s="5"/>
      <c r="F548" s="5"/>
      <c r="G548" s="5"/>
      <c r="H548" s="5"/>
      <c r="M548" s="5"/>
      <c r="N548" s="5"/>
      <c r="P548" s="5"/>
    </row>
    <row r="549" spans="2:16" ht="14.25" customHeight="1">
      <c r="B549" s="5"/>
      <c r="C549" s="5"/>
      <c r="D549" s="5"/>
      <c r="E549" s="5"/>
      <c r="F549" s="5"/>
      <c r="G549" s="5"/>
      <c r="H549" s="5"/>
      <c r="M549" s="5"/>
      <c r="N549" s="5"/>
      <c r="P549" s="5"/>
    </row>
    <row r="550" spans="2:16" ht="14.25" customHeight="1">
      <c r="B550" s="5"/>
      <c r="C550" s="5"/>
      <c r="D550" s="5"/>
      <c r="E550" s="5"/>
      <c r="F550" s="5"/>
      <c r="G550" s="5"/>
      <c r="H550" s="5"/>
      <c r="M550" s="5"/>
      <c r="N550" s="5"/>
      <c r="P550" s="5"/>
    </row>
    <row r="551" spans="2:16" ht="14.25" customHeight="1">
      <c r="B551" s="5"/>
      <c r="C551" s="5"/>
      <c r="D551" s="5"/>
      <c r="E551" s="5"/>
      <c r="F551" s="5"/>
      <c r="G551" s="5"/>
      <c r="H551" s="5"/>
      <c r="M551" s="5"/>
      <c r="N551" s="5"/>
      <c r="P551" s="5"/>
    </row>
    <row r="552" spans="2:16" ht="14.25" customHeight="1">
      <c r="B552" s="5"/>
      <c r="C552" s="5"/>
      <c r="D552" s="5"/>
      <c r="E552" s="5"/>
      <c r="F552" s="5"/>
      <c r="G552" s="5"/>
      <c r="H552" s="5"/>
      <c r="M552" s="5"/>
      <c r="N552" s="5"/>
      <c r="P552" s="5"/>
    </row>
    <row r="553" spans="2:16" ht="14.25" customHeight="1">
      <c r="B553" s="5"/>
      <c r="C553" s="5"/>
      <c r="D553" s="5"/>
      <c r="E553" s="5"/>
      <c r="F553" s="5"/>
      <c r="G553" s="5"/>
      <c r="H553" s="5"/>
      <c r="M553" s="5"/>
      <c r="N553" s="5"/>
      <c r="P553" s="5"/>
    </row>
    <row r="554" spans="2:16" ht="14.25" customHeight="1">
      <c r="B554" s="5"/>
      <c r="C554" s="5"/>
      <c r="D554" s="5"/>
      <c r="E554" s="5"/>
      <c r="F554" s="5"/>
      <c r="G554" s="5"/>
      <c r="H554" s="5"/>
      <c r="M554" s="5"/>
      <c r="N554" s="5"/>
      <c r="P554" s="5"/>
    </row>
    <row r="555" spans="2:16" ht="14.25" customHeight="1">
      <c r="B555" s="5"/>
      <c r="C555" s="5"/>
      <c r="D555" s="5"/>
      <c r="E555" s="5"/>
      <c r="F555" s="5"/>
      <c r="G555" s="5"/>
      <c r="H555" s="5"/>
      <c r="M555" s="5"/>
      <c r="N555" s="5"/>
      <c r="P555" s="5"/>
    </row>
    <row r="556" spans="2:16" ht="14.25" customHeight="1">
      <c r="B556" s="5"/>
      <c r="C556" s="5"/>
      <c r="D556" s="5"/>
      <c r="E556" s="5"/>
      <c r="F556" s="5"/>
      <c r="G556" s="5"/>
      <c r="H556" s="5"/>
      <c r="M556" s="5"/>
      <c r="N556" s="5"/>
      <c r="P556" s="5"/>
    </row>
    <row r="557" spans="2:16" ht="14.25" customHeight="1">
      <c r="B557" s="5"/>
      <c r="C557" s="5"/>
      <c r="D557" s="5"/>
      <c r="E557" s="5"/>
      <c r="F557" s="5"/>
      <c r="G557" s="5"/>
      <c r="H557" s="5"/>
      <c r="M557" s="5"/>
      <c r="N557" s="5"/>
      <c r="P557" s="5"/>
    </row>
    <row r="558" spans="2:16" ht="14.25" customHeight="1">
      <c r="B558" s="5"/>
      <c r="C558" s="5"/>
      <c r="D558" s="5"/>
      <c r="E558" s="5"/>
      <c r="F558" s="5"/>
      <c r="G558" s="5"/>
      <c r="H558" s="5"/>
      <c r="M558" s="5"/>
      <c r="N558" s="5"/>
      <c r="P558" s="5"/>
    </row>
    <row r="559" spans="2:16" ht="14.25" customHeight="1">
      <c r="B559" s="5"/>
      <c r="C559" s="5"/>
      <c r="D559" s="5"/>
      <c r="E559" s="5"/>
      <c r="F559" s="5"/>
      <c r="G559" s="5"/>
      <c r="H559" s="5"/>
      <c r="M559" s="5"/>
      <c r="N559" s="5"/>
      <c r="P559" s="5"/>
    </row>
    <row r="560" spans="2:16" ht="14.25" customHeight="1">
      <c r="B560" s="5"/>
      <c r="C560" s="5"/>
      <c r="D560" s="5"/>
      <c r="E560" s="5"/>
      <c r="F560" s="5"/>
      <c r="G560" s="5"/>
      <c r="H560" s="5"/>
      <c r="M560" s="5"/>
      <c r="N560" s="5"/>
      <c r="P560" s="5"/>
    </row>
    <row r="561" spans="2:16" ht="14.25" customHeight="1">
      <c r="B561" s="5"/>
      <c r="C561" s="5"/>
      <c r="D561" s="5"/>
      <c r="E561" s="5"/>
      <c r="F561" s="5"/>
      <c r="G561" s="5"/>
      <c r="H561" s="5"/>
      <c r="M561" s="5"/>
      <c r="N561" s="5"/>
      <c r="P561" s="5"/>
    </row>
    <row r="562" spans="2:16" ht="14.25" customHeight="1">
      <c r="B562" s="5"/>
      <c r="C562" s="5"/>
      <c r="D562" s="5"/>
      <c r="E562" s="5"/>
      <c r="F562" s="5"/>
      <c r="G562" s="5"/>
      <c r="H562" s="5"/>
      <c r="M562" s="5"/>
      <c r="N562" s="5"/>
      <c r="P562" s="5"/>
    </row>
    <row r="563" spans="2:16" ht="14.25" customHeight="1">
      <c r="B563" s="5"/>
      <c r="C563" s="5"/>
      <c r="D563" s="5"/>
      <c r="E563" s="5"/>
      <c r="F563" s="5"/>
      <c r="G563" s="5"/>
      <c r="H563" s="5"/>
      <c r="M563" s="5"/>
      <c r="N563" s="5"/>
      <c r="P563" s="5"/>
    </row>
    <row r="564" spans="2:16" ht="14.25" customHeight="1">
      <c r="B564" s="5"/>
      <c r="C564" s="5"/>
      <c r="D564" s="5"/>
      <c r="E564" s="5"/>
      <c r="F564" s="5"/>
      <c r="G564" s="5"/>
      <c r="H564" s="5"/>
      <c r="M564" s="5"/>
      <c r="N564" s="5"/>
      <c r="P564" s="5"/>
    </row>
    <row r="565" spans="2:16" ht="14.25" customHeight="1">
      <c r="B565" s="5"/>
      <c r="C565" s="5"/>
      <c r="D565" s="5"/>
      <c r="E565" s="5"/>
      <c r="F565" s="5"/>
      <c r="G565" s="5"/>
      <c r="H565" s="5"/>
      <c r="M565" s="5"/>
      <c r="N565" s="5"/>
      <c r="P565" s="5"/>
    </row>
    <row r="566" spans="2:16" ht="14.25" customHeight="1">
      <c r="B566" s="5"/>
      <c r="C566" s="5"/>
      <c r="D566" s="5"/>
      <c r="E566" s="5"/>
      <c r="F566" s="5"/>
      <c r="G566" s="5"/>
      <c r="H566" s="5"/>
      <c r="M566" s="5"/>
      <c r="N566" s="5"/>
      <c r="P566" s="5"/>
    </row>
    <row r="567" spans="2:16" ht="14.25" customHeight="1">
      <c r="B567" s="5"/>
      <c r="C567" s="5"/>
      <c r="D567" s="5"/>
      <c r="E567" s="5"/>
      <c r="F567" s="5"/>
      <c r="G567" s="5"/>
      <c r="H567" s="5"/>
      <c r="M567" s="5"/>
      <c r="N567" s="5"/>
      <c r="P567" s="5"/>
    </row>
    <row r="568" spans="2:16" ht="14.25" customHeight="1">
      <c r="B568" s="5"/>
      <c r="C568" s="5"/>
      <c r="D568" s="5"/>
      <c r="E568" s="5"/>
      <c r="F568" s="5"/>
      <c r="G568" s="5"/>
      <c r="H568" s="5"/>
      <c r="M568" s="5"/>
      <c r="N568" s="5"/>
      <c r="P568" s="5"/>
    </row>
    <row r="569" spans="2:16" ht="14.25" customHeight="1">
      <c r="B569" s="5"/>
      <c r="C569" s="5"/>
      <c r="D569" s="5"/>
      <c r="E569" s="5"/>
      <c r="F569" s="5"/>
      <c r="G569" s="5"/>
      <c r="H569" s="5"/>
      <c r="M569" s="5"/>
      <c r="N569" s="5"/>
      <c r="P569" s="5"/>
    </row>
    <row r="570" spans="2:16" ht="14.25" customHeight="1">
      <c r="B570" s="5"/>
      <c r="C570" s="5"/>
      <c r="D570" s="5"/>
      <c r="E570" s="5"/>
      <c r="F570" s="5"/>
      <c r="G570" s="5"/>
      <c r="H570" s="5"/>
      <c r="M570" s="5"/>
      <c r="N570" s="5"/>
      <c r="P570" s="5"/>
    </row>
    <row r="571" spans="2:16" ht="14.25" customHeight="1">
      <c r="B571" s="5"/>
      <c r="C571" s="5"/>
      <c r="D571" s="5"/>
      <c r="E571" s="5"/>
      <c r="F571" s="5"/>
      <c r="G571" s="5"/>
      <c r="H571" s="5"/>
      <c r="M571" s="5"/>
      <c r="N571" s="5"/>
      <c r="P571" s="5"/>
    </row>
    <row r="572" spans="2:16" ht="14.25" customHeight="1">
      <c r="B572" s="5"/>
      <c r="C572" s="5"/>
      <c r="D572" s="5"/>
      <c r="E572" s="5"/>
      <c r="F572" s="5"/>
      <c r="G572" s="5"/>
      <c r="H572" s="5"/>
      <c r="M572" s="5"/>
      <c r="N572" s="5"/>
      <c r="P572" s="5"/>
    </row>
    <row r="573" spans="2:16" ht="14.25" customHeight="1">
      <c r="B573" s="5"/>
      <c r="C573" s="5"/>
      <c r="D573" s="5"/>
      <c r="E573" s="5"/>
      <c r="F573" s="5"/>
      <c r="G573" s="5"/>
      <c r="H573" s="5"/>
      <c r="M573" s="5"/>
      <c r="N573" s="5"/>
      <c r="P573" s="5"/>
    </row>
    <row r="574" spans="2:16" ht="14.25" customHeight="1">
      <c r="B574" s="5"/>
      <c r="C574" s="5"/>
      <c r="D574" s="5"/>
      <c r="E574" s="5"/>
      <c r="F574" s="5"/>
      <c r="G574" s="5"/>
      <c r="H574" s="5"/>
      <c r="M574" s="5"/>
      <c r="N574" s="5"/>
      <c r="P574" s="5"/>
    </row>
    <row r="575" spans="2:16" ht="14.25" customHeight="1">
      <c r="B575" s="5"/>
      <c r="C575" s="5"/>
      <c r="D575" s="5"/>
      <c r="E575" s="5"/>
      <c r="F575" s="5"/>
      <c r="G575" s="5"/>
      <c r="H575" s="5"/>
      <c r="M575" s="5"/>
      <c r="N575" s="5"/>
      <c r="P575" s="5"/>
    </row>
    <row r="576" spans="2:16" ht="14.25" customHeight="1">
      <c r="B576" s="5"/>
      <c r="C576" s="5"/>
      <c r="D576" s="5"/>
      <c r="E576" s="5"/>
      <c r="F576" s="5"/>
      <c r="G576" s="5"/>
      <c r="H576" s="5"/>
      <c r="M576" s="5"/>
      <c r="N576" s="5"/>
      <c r="P576" s="5"/>
    </row>
    <row r="577" spans="2:16" ht="14.25" customHeight="1">
      <c r="B577" s="5"/>
      <c r="C577" s="5"/>
      <c r="D577" s="5"/>
      <c r="E577" s="5"/>
      <c r="F577" s="5"/>
      <c r="G577" s="5"/>
      <c r="H577" s="5"/>
      <c r="M577" s="5"/>
      <c r="N577" s="5"/>
      <c r="P577" s="5"/>
    </row>
    <row r="578" spans="2:16" ht="14.25" customHeight="1">
      <c r="B578" s="5"/>
      <c r="C578" s="5"/>
      <c r="D578" s="5"/>
      <c r="E578" s="5"/>
      <c r="F578" s="5"/>
      <c r="G578" s="5"/>
      <c r="H578" s="5"/>
      <c r="M578" s="5"/>
      <c r="N578" s="5"/>
      <c r="P578" s="5"/>
    </row>
    <row r="579" spans="2:16" ht="14.25" customHeight="1">
      <c r="B579" s="5"/>
      <c r="C579" s="5"/>
      <c r="D579" s="5"/>
      <c r="E579" s="5"/>
      <c r="F579" s="5"/>
      <c r="G579" s="5"/>
      <c r="H579" s="5"/>
      <c r="M579" s="5"/>
      <c r="N579" s="5"/>
      <c r="P579" s="5"/>
    </row>
    <row r="580" spans="2:16" ht="14.25" customHeight="1">
      <c r="B580" s="5"/>
      <c r="C580" s="5"/>
      <c r="D580" s="5"/>
      <c r="E580" s="5"/>
      <c r="F580" s="5"/>
      <c r="G580" s="5"/>
      <c r="H580" s="5"/>
      <c r="M580" s="5"/>
      <c r="N580" s="5"/>
      <c r="P580" s="5"/>
    </row>
    <row r="581" spans="2:16" ht="14.25" customHeight="1">
      <c r="B581" s="5"/>
      <c r="C581" s="5"/>
      <c r="D581" s="5"/>
      <c r="E581" s="5"/>
      <c r="F581" s="5"/>
      <c r="G581" s="5"/>
      <c r="H581" s="5"/>
      <c r="M581" s="5"/>
      <c r="N581" s="5"/>
      <c r="P581" s="5"/>
    </row>
    <row r="582" spans="2:16" ht="14.25" customHeight="1">
      <c r="B582" s="5"/>
      <c r="C582" s="5"/>
      <c r="D582" s="5"/>
      <c r="E582" s="5"/>
      <c r="F582" s="5"/>
      <c r="G582" s="5"/>
      <c r="H582" s="5"/>
      <c r="M582" s="5"/>
      <c r="N582" s="5"/>
      <c r="P582" s="5"/>
    </row>
    <row r="583" spans="2:16" ht="14.25" customHeight="1">
      <c r="B583" s="5"/>
      <c r="C583" s="5"/>
      <c r="D583" s="5"/>
      <c r="E583" s="5"/>
      <c r="F583" s="5"/>
      <c r="G583" s="5"/>
      <c r="H583" s="5"/>
      <c r="M583" s="5"/>
      <c r="N583" s="5"/>
      <c r="P583" s="5"/>
    </row>
    <row r="584" spans="2:16" ht="14.25" customHeight="1">
      <c r="B584" s="5"/>
      <c r="C584" s="5"/>
      <c r="D584" s="5"/>
      <c r="E584" s="5"/>
      <c r="F584" s="5"/>
      <c r="G584" s="5"/>
      <c r="H584" s="5"/>
      <c r="M584" s="5"/>
      <c r="N584" s="5"/>
      <c r="P584" s="5"/>
    </row>
    <row r="585" spans="2:16" ht="14.25" customHeight="1">
      <c r="B585" s="5"/>
      <c r="C585" s="5"/>
      <c r="D585" s="5"/>
      <c r="E585" s="5"/>
      <c r="F585" s="5"/>
      <c r="G585" s="5"/>
      <c r="H585" s="5"/>
      <c r="M585" s="5"/>
      <c r="N585" s="5"/>
      <c r="P585" s="5"/>
    </row>
    <row r="586" spans="2:16" ht="14.25" customHeight="1">
      <c r="B586" s="5"/>
      <c r="C586" s="5"/>
      <c r="D586" s="5"/>
      <c r="E586" s="5"/>
      <c r="F586" s="5"/>
      <c r="G586" s="5"/>
      <c r="H586" s="5"/>
      <c r="M586" s="5"/>
      <c r="N586" s="5"/>
      <c r="P586" s="5"/>
    </row>
    <row r="587" spans="2:16" ht="14.25" customHeight="1">
      <c r="B587" s="5"/>
      <c r="C587" s="5"/>
      <c r="D587" s="5"/>
      <c r="E587" s="5"/>
      <c r="F587" s="5"/>
      <c r="G587" s="5"/>
      <c r="H587" s="5"/>
      <c r="M587" s="5"/>
      <c r="N587" s="5"/>
      <c r="P587" s="5"/>
    </row>
    <row r="588" spans="2:16" ht="14.25" customHeight="1">
      <c r="B588" s="5"/>
      <c r="C588" s="5"/>
      <c r="D588" s="5"/>
      <c r="E588" s="5"/>
      <c r="F588" s="5"/>
      <c r="G588" s="5"/>
      <c r="H588" s="5"/>
      <c r="M588" s="5"/>
      <c r="N588" s="5"/>
      <c r="P588" s="5"/>
    </row>
    <row r="589" spans="2:16" ht="14.25" customHeight="1">
      <c r="B589" s="5"/>
      <c r="C589" s="5"/>
      <c r="D589" s="5"/>
      <c r="E589" s="5"/>
      <c r="F589" s="5"/>
      <c r="G589" s="5"/>
      <c r="H589" s="5"/>
      <c r="M589" s="5"/>
      <c r="N589" s="5"/>
      <c r="P589" s="5"/>
    </row>
    <row r="590" spans="2:16" ht="14.25" customHeight="1">
      <c r="B590" s="5"/>
      <c r="C590" s="5"/>
      <c r="D590" s="5"/>
      <c r="E590" s="5"/>
      <c r="F590" s="5"/>
      <c r="G590" s="5"/>
      <c r="H590" s="5"/>
      <c r="M590" s="5"/>
      <c r="N590" s="5"/>
      <c r="P590" s="5"/>
    </row>
    <row r="591" spans="2:16" ht="14.25" customHeight="1">
      <c r="B591" s="5"/>
      <c r="C591" s="5"/>
      <c r="D591" s="5"/>
      <c r="E591" s="5"/>
      <c r="F591" s="5"/>
      <c r="G591" s="5"/>
      <c r="H591" s="5"/>
      <c r="M591" s="5"/>
      <c r="N591" s="5"/>
      <c r="P591" s="5"/>
    </row>
    <row r="592" spans="2:16" ht="14.25" customHeight="1">
      <c r="B592" s="5"/>
      <c r="C592" s="5"/>
      <c r="D592" s="5"/>
      <c r="E592" s="5"/>
      <c r="F592" s="5"/>
      <c r="G592" s="5"/>
      <c r="H592" s="5"/>
      <c r="M592" s="5"/>
      <c r="N592" s="5"/>
      <c r="P592" s="5"/>
    </row>
    <row r="593" spans="2:16" ht="14.25" customHeight="1">
      <c r="B593" s="5"/>
      <c r="C593" s="5"/>
      <c r="D593" s="5"/>
      <c r="E593" s="5"/>
      <c r="F593" s="5"/>
      <c r="G593" s="5"/>
      <c r="H593" s="5"/>
      <c r="M593" s="5"/>
      <c r="N593" s="5"/>
      <c r="P593" s="5"/>
    </row>
    <row r="594" spans="2:16" ht="14.25" customHeight="1">
      <c r="B594" s="5"/>
      <c r="C594" s="5"/>
      <c r="D594" s="5"/>
      <c r="E594" s="5"/>
      <c r="F594" s="5"/>
      <c r="G594" s="5"/>
      <c r="H594" s="5"/>
      <c r="M594" s="5"/>
      <c r="N594" s="5"/>
      <c r="P594" s="5"/>
    </row>
    <row r="595" spans="2:16" ht="14.25" customHeight="1">
      <c r="B595" s="5"/>
      <c r="C595" s="5"/>
      <c r="D595" s="5"/>
      <c r="E595" s="5"/>
      <c r="F595" s="5"/>
      <c r="G595" s="5"/>
      <c r="H595" s="5"/>
      <c r="M595" s="5"/>
      <c r="N595" s="5"/>
      <c r="P595" s="5"/>
    </row>
    <row r="596" spans="2:16" ht="14.25" customHeight="1">
      <c r="B596" s="5"/>
      <c r="C596" s="5"/>
      <c r="D596" s="5"/>
      <c r="E596" s="5"/>
      <c r="F596" s="5"/>
      <c r="G596" s="5"/>
      <c r="H596" s="5"/>
      <c r="M596" s="5"/>
      <c r="N596" s="5"/>
      <c r="P596" s="5"/>
    </row>
    <row r="597" spans="2:16" ht="14.25" customHeight="1">
      <c r="B597" s="5"/>
      <c r="C597" s="5"/>
      <c r="D597" s="5"/>
      <c r="E597" s="5"/>
      <c r="F597" s="5"/>
      <c r="G597" s="5"/>
      <c r="H597" s="5"/>
      <c r="M597" s="5"/>
      <c r="N597" s="5"/>
      <c r="P597" s="5"/>
    </row>
    <row r="598" spans="2:16" ht="14.25" customHeight="1">
      <c r="B598" s="5"/>
      <c r="C598" s="5"/>
      <c r="D598" s="5"/>
      <c r="E598" s="5"/>
      <c r="F598" s="5"/>
      <c r="G598" s="5"/>
      <c r="H598" s="5"/>
      <c r="M598" s="5"/>
      <c r="N598" s="5"/>
      <c r="P598" s="5"/>
    </row>
    <row r="599" spans="2:16" ht="14.25" customHeight="1">
      <c r="B599" s="5"/>
      <c r="C599" s="5"/>
      <c r="D599" s="5"/>
      <c r="E599" s="5"/>
      <c r="F599" s="5"/>
      <c r="G599" s="5"/>
      <c r="H599" s="5"/>
      <c r="M599" s="5"/>
      <c r="N599" s="5"/>
      <c r="P599" s="5"/>
    </row>
    <row r="600" spans="2:16" ht="14.25" customHeight="1">
      <c r="B600" s="5"/>
      <c r="C600" s="5"/>
      <c r="D600" s="5"/>
      <c r="E600" s="5"/>
      <c r="F600" s="5"/>
      <c r="G600" s="5"/>
      <c r="H600" s="5"/>
      <c r="M600" s="5"/>
      <c r="N600" s="5"/>
      <c r="P600" s="5"/>
    </row>
    <row r="601" spans="2:16" ht="14.25" customHeight="1">
      <c r="B601" s="5"/>
      <c r="C601" s="5"/>
      <c r="D601" s="5"/>
      <c r="E601" s="5"/>
      <c r="F601" s="5"/>
      <c r="G601" s="5"/>
      <c r="H601" s="5"/>
      <c r="M601" s="5"/>
      <c r="N601" s="5"/>
      <c r="P601" s="5"/>
    </row>
    <row r="602" spans="2:16" ht="14.25" customHeight="1">
      <c r="B602" s="5"/>
      <c r="C602" s="5"/>
      <c r="D602" s="5"/>
      <c r="E602" s="5"/>
      <c r="F602" s="5"/>
      <c r="G602" s="5"/>
      <c r="H602" s="5"/>
      <c r="M602" s="5"/>
      <c r="N602" s="5"/>
      <c r="P602" s="5"/>
    </row>
    <row r="603" spans="2:16" ht="14.25" customHeight="1">
      <c r="B603" s="5"/>
      <c r="C603" s="5"/>
      <c r="D603" s="5"/>
      <c r="E603" s="5"/>
      <c r="F603" s="5"/>
      <c r="G603" s="5"/>
      <c r="H603" s="5"/>
      <c r="M603" s="5"/>
      <c r="N603" s="5"/>
      <c r="P603" s="5"/>
    </row>
    <row r="604" spans="2:16" ht="14.25" customHeight="1">
      <c r="B604" s="5"/>
      <c r="C604" s="5"/>
      <c r="D604" s="5"/>
      <c r="E604" s="5"/>
      <c r="F604" s="5"/>
      <c r="G604" s="5"/>
      <c r="H604" s="5"/>
      <c r="M604" s="5"/>
      <c r="N604" s="5"/>
      <c r="P604" s="5"/>
    </row>
    <row r="605" spans="2:16" ht="14.25" customHeight="1">
      <c r="B605" s="5"/>
      <c r="C605" s="5"/>
      <c r="D605" s="5"/>
      <c r="E605" s="5"/>
      <c r="F605" s="5"/>
      <c r="G605" s="5"/>
      <c r="H605" s="5"/>
      <c r="M605" s="5"/>
      <c r="N605" s="5"/>
      <c r="P605" s="5"/>
    </row>
    <row r="606" spans="2:16" ht="14.25" customHeight="1">
      <c r="B606" s="5"/>
      <c r="C606" s="5"/>
      <c r="D606" s="5"/>
      <c r="E606" s="5"/>
      <c r="F606" s="5"/>
      <c r="G606" s="5"/>
      <c r="H606" s="5"/>
      <c r="M606" s="5"/>
      <c r="N606" s="5"/>
      <c r="P606" s="5"/>
    </row>
    <row r="607" spans="2:16" ht="14.25" customHeight="1">
      <c r="B607" s="5"/>
      <c r="C607" s="5"/>
      <c r="D607" s="5"/>
      <c r="E607" s="5"/>
      <c r="F607" s="5"/>
      <c r="G607" s="5"/>
      <c r="H607" s="5"/>
      <c r="M607" s="5"/>
      <c r="N607" s="5"/>
      <c r="P607" s="5"/>
    </row>
    <row r="608" spans="2:16" ht="14.25" customHeight="1">
      <c r="B608" s="5"/>
      <c r="C608" s="5"/>
      <c r="D608" s="5"/>
      <c r="E608" s="5"/>
      <c r="F608" s="5"/>
      <c r="G608" s="5"/>
      <c r="H608" s="5"/>
      <c r="M608" s="5"/>
      <c r="N608" s="5"/>
      <c r="P608" s="5"/>
    </row>
    <row r="609" spans="2:16" ht="14.25" customHeight="1">
      <c r="B609" s="5"/>
      <c r="C609" s="5"/>
      <c r="D609" s="5"/>
      <c r="E609" s="5"/>
      <c r="F609" s="5"/>
      <c r="G609" s="5"/>
      <c r="H609" s="5"/>
      <c r="M609" s="5"/>
      <c r="N609" s="5"/>
      <c r="P609" s="5"/>
    </row>
    <row r="610" spans="2:16" ht="14.25" customHeight="1">
      <c r="B610" s="5"/>
      <c r="C610" s="5"/>
      <c r="D610" s="5"/>
      <c r="E610" s="5"/>
      <c r="F610" s="5"/>
      <c r="G610" s="5"/>
      <c r="H610" s="5"/>
      <c r="M610" s="5"/>
      <c r="N610" s="5"/>
      <c r="P610" s="5"/>
    </row>
    <row r="611" spans="2:16" ht="14.25" customHeight="1">
      <c r="B611" s="5"/>
      <c r="C611" s="5"/>
      <c r="D611" s="5"/>
      <c r="E611" s="5"/>
      <c r="F611" s="5"/>
      <c r="G611" s="5"/>
      <c r="H611" s="5"/>
      <c r="M611" s="5"/>
      <c r="N611" s="5"/>
      <c r="P611" s="5"/>
    </row>
    <row r="612" spans="2:16" ht="14.25" customHeight="1">
      <c r="B612" s="5"/>
      <c r="C612" s="5"/>
      <c r="D612" s="5"/>
      <c r="E612" s="5"/>
      <c r="F612" s="5"/>
      <c r="G612" s="5"/>
      <c r="H612" s="5"/>
      <c r="M612" s="5"/>
      <c r="N612" s="5"/>
      <c r="P612" s="5"/>
    </row>
    <row r="613" spans="2:16" ht="14.25" customHeight="1">
      <c r="B613" s="5"/>
      <c r="C613" s="5"/>
      <c r="D613" s="5"/>
      <c r="E613" s="5"/>
      <c r="F613" s="5"/>
      <c r="G613" s="5"/>
      <c r="H613" s="5"/>
      <c r="M613" s="5"/>
      <c r="N613" s="5"/>
      <c r="P613" s="5"/>
    </row>
    <row r="614" spans="2:16" ht="14.25" customHeight="1">
      <c r="B614" s="5"/>
      <c r="C614" s="5"/>
      <c r="D614" s="5"/>
      <c r="E614" s="5"/>
      <c r="F614" s="5"/>
      <c r="G614" s="5"/>
      <c r="H614" s="5"/>
      <c r="M614" s="5"/>
      <c r="N614" s="5"/>
      <c r="P614" s="5"/>
    </row>
    <row r="615" spans="2:16" ht="14.25" customHeight="1">
      <c r="B615" s="5"/>
      <c r="C615" s="5"/>
      <c r="D615" s="5"/>
      <c r="E615" s="5"/>
      <c r="F615" s="5"/>
      <c r="G615" s="5"/>
      <c r="H615" s="5"/>
      <c r="M615" s="5"/>
      <c r="N615" s="5"/>
      <c r="P615" s="5"/>
    </row>
    <row r="616" spans="2:16" ht="14.25" customHeight="1">
      <c r="B616" s="5"/>
      <c r="C616" s="5"/>
      <c r="D616" s="5"/>
      <c r="E616" s="5"/>
      <c r="F616" s="5"/>
      <c r="G616" s="5"/>
      <c r="H616" s="5"/>
      <c r="M616" s="5"/>
      <c r="N616" s="5"/>
      <c r="P616" s="5"/>
    </row>
    <row r="617" spans="2:16" ht="14.25" customHeight="1">
      <c r="B617" s="5"/>
      <c r="C617" s="5"/>
      <c r="D617" s="5"/>
      <c r="E617" s="5"/>
      <c r="F617" s="5"/>
      <c r="G617" s="5"/>
      <c r="H617" s="5"/>
      <c r="M617" s="5"/>
      <c r="N617" s="5"/>
      <c r="P617" s="5"/>
    </row>
    <row r="618" spans="2:16" ht="14.25" customHeight="1">
      <c r="B618" s="5"/>
      <c r="C618" s="5"/>
      <c r="D618" s="5"/>
      <c r="E618" s="5"/>
      <c r="F618" s="5"/>
      <c r="G618" s="5"/>
      <c r="H618" s="5"/>
      <c r="M618" s="5"/>
      <c r="N618" s="5"/>
      <c r="P618" s="5"/>
    </row>
    <row r="619" spans="2:16" ht="14.25" customHeight="1">
      <c r="B619" s="5"/>
      <c r="C619" s="5"/>
      <c r="D619" s="5"/>
      <c r="E619" s="5"/>
      <c r="F619" s="5"/>
      <c r="G619" s="5"/>
      <c r="H619" s="5"/>
      <c r="M619" s="5"/>
      <c r="N619" s="5"/>
      <c r="P619" s="5"/>
    </row>
    <row r="620" spans="2:16" ht="14.25" customHeight="1">
      <c r="B620" s="5"/>
      <c r="C620" s="5"/>
      <c r="D620" s="5"/>
      <c r="E620" s="5"/>
      <c r="F620" s="5"/>
      <c r="G620" s="5"/>
      <c r="H620" s="5"/>
      <c r="M620" s="5"/>
      <c r="N620" s="5"/>
      <c r="P620" s="5"/>
    </row>
    <row r="621" spans="2:16" ht="14.25" customHeight="1">
      <c r="B621" s="5"/>
      <c r="C621" s="5"/>
      <c r="D621" s="5"/>
      <c r="E621" s="5"/>
      <c r="F621" s="5"/>
      <c r="G621" s="5"/>
      <c r="H621" s="5"/>
      <c r="M621" s="5"/>
      <c r="N621" s="5"/>
      <c r="P621" s="5"/>
    </row>
    <row r="622" spans="2:16" ht="14.25" customHeight="1">
      <c r="B622" s="5"/>
      <c r="C622" s="5"/>
      <c r="D622" s="5"/>
      <c r="E622" s="5"/>
      <c r="F622" s="5"/>
      <c r="G622" s="5"/>
      <c r="H622" s="5"/>
      <c r="M622" s="5"/>
      <c r="N622" s="5"/>
      <c r="P622" s="5"/>
    </row>
    <row r="623" spans="2:16" ht="14.25" customHeight="1">
      <c r="B623" s="5"/>
      <c r="C623" s="5"/>
      <c r="D623" s="5"/>
      <c r="E623" s="5"/>
      <c r="F623" s="5"/>
      <c r="G623" s="5"/>
      <c r="H623" s="5"/>
      <c r="M623" s="5"/>
      <c r="N623" s="5"/>
      <c r="P623" s="5"/>
    </row>
    <row r="624" spans="2:16" ht="14.25" customHeight="1">
      <c r="B624" s="5"/>
      <c r="C624" s="5"/>
      <c r="D624" s="5"/>
      <c r="E624" s="5"/>
      <c r="F624" s="5"/>
      <c r="G624" s="5"/>
      <c r="H624" s="5"/>
      <c r="M624" s="5"/>
      <c r="N624" s="5"/>
      <c r="P624" s="5"/>
    </row>
    <row r="625" spans="2:16" ht="14.25" customHeight="1">
      <c r="B625" s="5"/>
      <c r="C625" s="5"/>
      <c r="D625" s="5"/>
      <c r="E625" s="5"/>
      <c r="F625" s="5"/>
      <c r="G625" s="5"/>
      <c r="H625" s="5"/>
      <c r="M625" s="5"/>
      <c r="N625" s="5"/>
      <c r="P625" s="5"/>
    </row>
    <row r="626" spans="2:16" ht="14.25" customHeight="1">
      <c r="B626" s="5"/>
      <c r="C626" s="5"/>
      <c r="D626" s="5"/>
      <c r="E626" s="5"/>
      <c r="F626" s="5"/>
      <c r="G626" s="5"/>
      <c r="H626" s="5"/>
      <c r="M626" s="5"/>
      <c r="N626" s="5"/>
      <c r="P626" s="5"/>
    </row>
    <row r="627" spans="2:16" ht="14.25" customHeight="1">
      <c r="B627" s="5"/>
      <c r="C627" s="5"/>
      <c r="D627" s="5"/>
      <c r="E627" s="5"/>
      <c r="F627" s="5"/>
      <c r="G627" s="5"/>
      <c r="H627" s="5"/>
      <c r="M627" s="5"/>
      <c r="N627" s="5"/>
      <c r="P627" s="5"/>
    </row>
    <row r="628" spans="2:16" ht="14.25" customHeight="1">
      <c r="B628" s="5"/>
      <c r="C628" s="5"/>
      <c r="D628" s="5"/>
      <c r="E628" s="5"/>
      <c r="F628" s="5"/>
      <c r="G628" s="5"/>
      <c r="H628" s="5"/>
      <c r="M628" s="5"/>
      <c r="N628" s="5"/>
      <c r="P628" s="5"/>
    </row>
    <row r="629" spans="2:16" ht="14.25" customHeight="1">
      <c r="B629" s="5"/>
      <c r="C629" s="5"/>
      <c r="D629" s="5"/>
      <c r="E629" s="5"/>
      <c r="F629" s="5"/>
      <c r="G629" s="5"/>
      <c r="H629" s="5"/>
      <c r="M629" s="5"/>
      <c r="N629" s="5"/>
      <c r="P629" s="5"/>
    </row>
    <row r="630" spans="2:16" ht="14.25" customHeight="1">
      <c r="B630" s="5"/>
      <c r="C630" s="5"/>
      <c r="D630" s="5"/>
      <c r="E630" s="5"/>
      <c r="F630" s="5"/>
      <c r="G630" s="5"/>
      <c r="H630" s="5"/>
      <c r="M630" s="5"/>
      <c r="N630" s="5"/>
      <c r="P630" s="5"/>
    </row>
    <row r="631" spans="2:16" ht="14.25" customHeight="1">
      <c r="B631" s="5"/>
      <c r="C631" s="5"/>
      <c r="D631" s="5"/>
      <c r="E631" s="5"/>
      <c r="F631" s="5"/>
      <c r="G631" s="5"/>
      <c r="H631" s="5"/>
      <c r="M631" s="5"/>
      <c r="N631" s="5"/>
      <c r="P631" s="5"/>
    </row>
    <row r="632" spans="2:16" ht="14.25" customHeight="1">
      <c r="B632" s="5"/>
      <c r="C632" s="5"/>
      <c r="D632" s="5"/>
      <c r="E632" s="5"/>
      <c r="F632" s="5"/>
      <c r="G632" s="5"/>
      <c r="H632" s="5"/>
      <c r="M632" s="5"/>
      <c r="N632" s="5"/>
      <c r="P632" s="5"/>
    </row>
    <row r="633" spans="2:16" ht="14.25" customHeight="1">
      <c r="B633" s="5"/>
      <c r="C633" s="5"/>
      <c r="D633" s="5"/>
      <c r="E633" s="5"/>
      <c r="F633" s="5"/>
      <c r="G633" s="5"/>
      <c r="H633" s="5"/>
      <c r="M633" s="5"/>
      <c r="N633" s="5"/>
      <c r="P633" s="5"/>
    </row>
    <row r="634" spans="2:16" ht="14.25" customHeight="1">
      <c r="B634" s="5"/>
      <c r="C634" s="5"/>
      <c r="D634" s="5"/>
      <c r="E634" s="5"/>
      <c r="F634" s="5"/>
      <c r="G634" s="5"/>
      <c r="H634" s="5"/>
      <c r="M634" s="5"/>
      <c r="N634" s="5"/>
      <c r="P634" s="5"/>
    </row>
    <row r="635" spans="2:16" ht="14.25" customHeight="1">
      <c r="B635" s="5"/>
      <c r="C635" s="5"/>
      <c r="D635" s="5"/>
      <c r="E635" s="5"/>
      <c r="F635" s="5"/>
      <c r="G635" s="5"/>
      <c r="H635" s="5"/>
      <c r="M635" s="5"/>
      <c r="N635" s="5"/>
      <c r="P635" s="5"/>
    </row>
    <row r="636" spans="2:16" ht="14.25" customHeight="1">
      <c r="B636" s="5"/>
      <c r="C636" s="5"/>
      <c r="D636" s="5"/>
      <c r="E636" s="5"/>
      <c r="F636" s="5"/>
      <c r="G636" s="5"/>
      <c r="H636" s="5"/>
      <c r="M636" s="5"/>
      <c r="N636" s="5"/>
      <c r="P636" s="5"/>
    </row>
    <row r="637" spans="2:16" ht="14.25" customHeight="1">
      <c r="B637" s="5"/>
      <c r="C637" s="5"/>
      <c r="D637" s="5"/>
      <c r="E637" s="5"/>
      <c r="F637" s="5"/>
      <c r="G637" s="5"/>
      <c r="H637" s="5"/>
      <c r="M637" s="5"/>
      <c r="N637" s="5"/>
      <c r="P637" s="5"/>
    </row>
    <row r="638" spans="2:16" ht="14.25" customHeight="1">
      <c r="B638" s="5"/>
      <c r="C638" s="5"/>
      <c r="D638" s="5"/>
      <c r="E638" s="5"/>
      <c r="F638" s="5"/>
      <c r="G638" s="5"/>
      <c r="H638" s="5"/>
      <c r="M638" s="5"/>
      <c r="N638" s="5"/>
      <c r="P638" s="5"/>
    </row>
    <row r="639" spans="2:16" ht="14.25" customHeight="1">
      <c r="B639" s="5"/>
      <c r="C639" s="5"/>
      <c r="D639" s="5"/>
      <c r="E639" s="5"/>
      <c r="F639" s="5"/>
      <c r="G639" s="5"/>
      <c r="H639" s="5"/>
      <c r="M639" s="5"/>
      <c r="N639" s="5"/>
      <c r="P639" s="5"/>
    </row>
    <row r="640" spans="2:16" ht="14.25" customHeight="1">
      <c r="B640" s="5"/>
      <c r="C640" s="5"/>
      <c r="D640" s="5"/>
      <c r="E640" s="5"/>
      <c r="F640" s="5"/>
      <c r="G640" s="5"/>
      <c r="H640" s="5"/>
      <c r="M640" s="5"/>
      <c r="N640" s="5"/>
      <c r="P640" s="5"/>
    </row>
    <row r="641" spans="2:16" ht="14.25" customHeight="1">
      <c r="B641" s="5"/>
      <c r="C641" s="5"/>
      <c r="D641" s="5"/>
      <c r="E641" s="5"/>
      <c r="F641" s="5"/>
      <c r="G641" s="5"/>
      <c r="H641" s="5"/>
      <c r="M641" s="5"/>
      <c r="N641" s="5"/>
      <c r="P641" s="5"/>
    </row>
    <row r="642" spans="2:16" ht="14.25" customHeight="1">
      <c r="B642" s="5"/>
      <c r="C642" s="5"/>
      <c r="D642" s="5"/>
      <c r="E642" s="5"/>
      <c r="F642" s="5"/>
      <c r="G642" s="5"/>
      <c r="H642" s="5"/>
      <c r="M642" s="5"/>
      <c r="N642" s="5"/>
      <c r="P642" s="5"/>
    </row>
    <row r="643" spans="2:16" ht="14.25" customHeight="1">
      <c r="B643" s="5"/>
      <c r="C643" s="5"/>
      <c r="D643" s="5"/>
      <c r="E643" s="5"/>
      <c r="F643" s="5"/>
      <c r="G643" s="5"/>
      <c r="H643" s="5"/>
      <c r="M643" s="5"/>
      <c r="N643" s="5"/>
      <c r="P643" s="5"/>
    </row>
    <row r="644" spans="2:16" ht="14.25" customHeight="1">
      <c r="B644" s="5"/>
      <c r="C644" s="5"/>
      <c r="D644" s="5"/>
      <c r="E644" s="5"/>
      <c r="F644" s="5"/>
      <c r="G644" s="5"/>
      <c r="H644" s="5"/>
      <c r="M644" s="5"/>
      <c r="N644" s="5"/>
      <c r="P644" s="5"/>
    </row>
    <row r="645" spans="2:16" ht="14.25" customHeight="1">
      <c r="B645" s="5"/>
      <c r="C645" s="5"/>
      <c r="D645" s="5"/>
      <c r="E645" s="5"/>
      <c r="F645" s="5"/>
      <c r="G645" s="5"/>
      <c r="H645" s="5"/>
      <c r="M645" s="5"/>
      <c r="N645" s="5"/>
      <c r="P645" s="5"/>
    </row>
    <row r="646" spans="2:16" ht="14.25" customHeight="1">
      <c r="B646" s="5"/>
      <c r="C646" s="5"/>
      <c r="D646" s="5"/>
      <c r="E646" s="5"/>
      <c r="F646" s="5"/>
      <c r="G646" s="5"/>
      <c r="H646" s="5"/>
      <c r="M646" s="5"/>
      <c r="N646" s="5"/>
      <c r="P646" s="5"/>
    </row>
    <row r="647" spans="2:16" ht="14.25" customHeight="1">
      <c r="B647" s="5"/>
      <c r="C647" s="5"/>
      <c r="D647" s="5"/>
      <c r="E647" s="5"/>
      <c r="F647" s="5"/>
      <c r="G647" s="5"/>
      <c r="H647" s="5"/>
      <c r="M647" s="5"/>
      <c r="N647" s="5"/>
      <c r="P647" s="5"/>
    </row>
    <row r="648" spans="2:16" ht="14.25" customHeight="1">
      <c r="B648" s="5"/>
      <c r="C648" s="5"/>
      <c r="D648" s="5"/>
      <c r="E648" s="5"/>
      <c r="F648" s="5"/>
      <c r="G648" s="5"/>
      <c r="H648" s="5"/>
      <c r="M648" s="5"/>
      <c r="N648" s="5"/>
      <c r="P648" s="5"/>
    </row>
    <row r="649" spans="2:16" ht="14.25" customHeight="1">
      <c r="B649" s="5"/>
      <c r="C649" s="5"/>
      <c r="D649" s="5"/>
      <c r="E649" s="5"/>
      <c r="F649" s="5"/>
      <c r="G649" s="5"/>
      <c r="H649" s="5"/>
      <c r="M649" s="5"/>
      <c r="N649" s="5"/>
      <c r="P649" s="5"/>
    </row>
    <row r="650" spans="2:16" ht="14.25" customHeight="1">
      <c r="B650" s="5"/>
      <c r="C650" s="5"/>
      <c r="D650" s="5"/>
      <c r="E650" s="5"/>
      <c r="F650" s="5"/>
      <c r="G650" s="5"/>
      <c r="H650" s="5"/>
      <c r="M650" s="5"/>
      <c r="N650" s="5"/>
      <c r="P650" s="5"/>
    </row>
    <row r="651" spans="2:16" ht="14.25" customHeight="1">
      <c r="B651" s="5"/>
      <c r="C651" s="5"/>
      <c r="D651" s="5"/>
      <c r="E651" s="5"/>
      <c r="F651" s="5"/>
      <c r="G651" s="5"/>
      <c r="H651" s="5"/>
      <c r="M651" s="5"/>
      <c r="N651" s="5"/>
      <c r="P651" s="5"/>
    </row>
    <row r="652" spans="2:16" ht="14.25" customHeight="1">
      <c r="B652" s="5"/>
      <c r="C652" s="5"/>
      <c r="D652" s="5"/>
      <c r="E652" s="5"/>
      <c r="F652" s="5"/>
      <c r="G652" s="5"/>
      <c r="H652" s="5"/>
      <c r="M652" s="5"/>
      <c r="N652" s="5"/>
      <c r="P652" s="5"/>
    </row>
    <row r="653" spans="2:16" ht="14.25" customHeight="1">
      <c r="B653" s="5"/>
      <c r="C653" s="5"/>
      <c r="D653" s="5"/>
      <c r="E653" s="5"/>
      <c r="F653" s="5"/>
      <c r="G653" s="5"/>
      <c r="H653" s="5"/>
      <c r="M653" s="5"/>
      <c r="N653" s="5"/>
      <c r="P653" s="5"/>
    </row>
    <row r="654" spans="2:16" ht="14.25" customHeight="1">
      <c r="B654" s="5"/>
      <c r="C654" s="5"/>
      <c r="D654" s="5"/>
      <c r="E654" s="5"/>
      <c r="F654" s="5"/>
      <c r="G654" s="5"/>
      <c r="H654" s="5"/>
      <c r="M654" s="5"/>
      <c r="N654" s="5"/>
      <c r="P654" s="5"/>
    </row>
    <row r="655" spans="2:16" ht="14.25" customHeight="1">
      <c r="B655" s="5"/>
      <c r="C655" s="5"/>
      <c r="D655" s="5"/>
      <c r="E655" s="5"/>
      <c r="F655" s="5"/>
      <c r="G655" s="5"/>
      <c r="H655" s="5"/>
      <c r="M655" s="5"/>
      <c r="N655" s="5"/>
      <c r="P655" s="5"/>
    </row>
    <row r="656" spans="2:16" ht="14.25" customHeight="1">
      <c r="B656" s="5"/>
      <c r="C656" s="5"/>
      <c r="D656" s="5"/>
      <c r="E656" s="5"/>
      <c r="F656" s="5"/>
      <c r="G656" s="5"/>
      <c r="H656" s="5"/>
      <c r="M656" s="5"/>
      <c r="N656" s="5"/>
      <c r="P656" s="5"/>
    </row>
    <row r="657" spans="2:16" ht="14.25" customHeight="1">
      <c r="B657" s="5"/>
      <c r="C657" s="5"/>
      <c r="D657" s="5"/>
      <c r="E657" s="5"/>
      <c r="F657" s="5"/>
      <c r="G657" s="5"/>
      <c r="H657" s="5"/>
      <c r="M657" s="5"/>
      <c r="N657" s="5"/>
      <c r="P657" s="5"/>
    </row>
    <row r="658" spans="2:16" ht="14.25" customHeight="1">
      <c r="B658" s="5"/>
      <c r="C658" s="5"/>
      <c r="D658" s="5"/>
      <c r="E658" s="5"/>
      <c r="F658" s="5"/>
      <c r="G658" s="5"/>
      <c r="H658" s="5"/>
      <c r="M658" s="5"/>
      <c r="N658" s="5"/>
      <c r="P658" s="5"/>
    </row>
    <row r="659" spans="2:16" ht="14.25" customHeight="1">
      <c r="B659" s="5"/>
      <c r="C659" s="5"/>
      <c r="D659" s="5"/>
      <c r="E659" s="5"/>
      <c r="F659" s="5"/>
      <c r="G659" s="5"/>
      <c r="H659" s="5"/>
      <c r="M659" s="5"/>
      <c r="N659" s="5"/>
      <c r="P659" s="5"/>
    </row>
    <row r="660" spans="2:16" ht="14.25" customHeight="1">
      <c r="B660" s="5"/>
      <c r="C660" s="5"/>
      <c r="D660" s="5"/>
      <c r="E660" s="5"/>
      <c r="F660" s="5"/>
      <c r="G660" s="5"/>
      <c r="H660" s="5"/>
      <c r="M660" s="5"/>
      <c r="N660" s="5"/>
      <c r="P660" s="5"/>
    </row>
    <row r="661" spans="2:16" ht="14.25" customHeight="1">
      <c r="B661" s="5"/>
      <c r="C661" s="5"/>
      <c r="D661" s="5"/>
      <c r="E661" s="5"/>
      <c r="F661" s="5"/>
      <c r="G661" s="5"/>
      <c r="H661" s="5"/>
      <c r="M661" s="5"/>
      <c r="N661" s="5"/>
      <c r="P661" s="5"/>
    </row>
    <row r="662" spans="2:16" ht="14.25" customHeight="1">
      <c r="B662" s="5"/>
      <c r="C662" s="5"/>
      <c r="D662" s="5"/>
      <c r="E662" s="5"/>
      <c r="F662" s="5"/>
      <c r="G662" s="5"/>
      <c r="H662" s="5"/>
      <c r="M662" s="5"/>
      <c r="N662" s="5"/>
      <c r="P662" s="5"/>
    </row>
    <row r="663" spans="2:16" ht="14.25" customHeight="1">
      <c r="B663" s="5"/>
      <c r="C663" s="5"/>
      <c r="D663" s="5"/>
      <c r="E663" s="5"/>
      <c r="F663" s="5"/>
      <c r="G663" s="5"/>
      <c r="H663" s="5"/>
      <c r="M663" s="5"/>
      <c r="N663" s="5"/>
      <c r="P663" s="5"/>
    </row>
    <row r="664" spans="2:16" ht="14.25" customHeight="1">
      <c r="B664" s="5"/>
      <c r="C664" s="5"/>
      <c r="D664" s="5"/>
      <c r="E664" s="5"/>
      <c r="F664" s="5"/>
      <c r="G664" s="5"/>
      <c r="H664" s="5"/>
      <c r="M664" s="5"/>
      <c r="N664" s="5"/>
      <c r="P664" s="5"/>
    </row>
    <row r="665" spans="2:16" ht="14.25" customHeight="1">
      <c r="B665" s="5"/>
      <c r="C665" s="5"/>
      <c r="D665" s="5"/>
      <c r="E665" s="5"/>
      <c r="F665" s="5"/>
      <c r="G665" s="5"/>
      <c r="H665" s="5"/>
      <c r="M665" s="5"/>
      <c r="N665" s="5"/>
      <c r="P665" s="5"/>
    </row>
    <row r="666" spans="2:16" ht="14.25" customHeight="1">
      <c r="B666" s="5"/>
      <c r="C666" s="5"/>
      <c r="D666" s="5"/>
      <c r="E666" s="5"/>
      <c r="F666" s="5"/>
      <c r="G666" s="5"/>
      <c r="H666" s="5"/>
      <c r="M666" s="5"/>
      <c r="N666" s="5"/>
      <c r="P666" s="5"/>
    </row>
    <row r="667" spans="2:16" ht="14.25" customHeight="1">
      <c r="B667" s="5"/>
      <c r="C667" s="5"/>
      <c r="D667" s="5"/>
      <c r="E667" s="5"/>
      <c r="F667" s="5"/>
      <c r="G667" s="5"/>
      <c r="H667" s="5"/>
      <c r="M667" s="5"/>
      <c r="N667" s="5"/>
      <c r="P667" s="5"/>
    </row>
    <row r="668" spans="2:16" ht="14.25" customHeight="1">
      <c r="B668" s="5"/>
      <c r="C668" s="5"/>
      <c r="D668" s="5"/>
      <c r="E668" s="5"/>
      <c r="F668" s="5"/>
      <c r="G668" s="5"/>
      <c r="H668" s="5"/>
      <c r="M668" s="5"/>
      <c r="N668" s="5"/>
      <c r="P668" s="5"/>
    </row>
    <row r="669" spans="2:16" ht="14.25" customHeight="1">
      <c r="B669" s="5"/>
      <c r="C669" s="5"/>
      <c r="D669" s="5"/>
      <c r="E669" s="5"/>
      <c r="F669" s="5"/>
      <c r="G669" s="5"/>
      <c r="H669" s="5"/>
      <c r="M669" s="5"/>
      <c r="N669" s="5"/>
      <c r="P669" s="5"/>
    </row>
    <row r="670" spans="2:16" ht="14.25" customHeight="1">
      <c r="B670" s="5"/>
      <c r="C670" s="5"/>
      <c r="D670" s="5"/>
      <c r="E670" s="5"/>
      <c r="F670" s="5"/>
      <c r="G670" s="5"/>
      <c r="H670" s="5"/>
      <c r="M670" s="5"/>
      <c r="N670" s="5"/>
      <c r="P670" s="5"/>
    </row>
    <row r="671" spans="2:16" ht="14.25" customHeight="1">
      <c r="B671" s="5"/>
      <c r="C671" s="5"/>
      <c r="D671" s="5"/>
      <c r="E671" s="5"/>
      <c r="F671" s="5"/>
      <c r="G671" s="5"/>
      <c r="H671" s="5"/>
      <c r="M671" s="5"/>
      <c r="N671" s="5"/>
      <c r="P671" s="5"/>
    </row>
    <row r="672" spans="2:16" ht="14.25" customHeight="1">
      <c r="B672" s="5"/>
      <c r="C672" s="5"/>
      <c r="D672" s="5"/>
      <c r="E672" s="5"/>
      <c r="F672" s="5"/>
      <c r="G672" s="5"/>
      <c r="H672" s="5"/>
      <c r="M672" s="5"/>
      <c r="N672" s="5"/>
      <c r="P672" s="5"/>
    </row>
    <row r="673" spans="2:16" ht="14.25" customHeight="1">
      <c r="B673" s="5"/>
      <c r="C673" s="5"/>
      <c r="D673" s="5"/>
      <c r="E673" s="5"/>
      <c r="F673" s="5"/>
      <c r="G673" s="5"/>
      <c r="H673" s="5"/>
      <c r="M673" s="5"/>
      <c r="N673" s="5"/>
      <c r="P673" s="5"/>
    </row>
    <row r="674" spans="2:16" ht="14.25" customHeight="1">
      <c r="B674" s="5"/>
      <c r="C674" s="5"/>
      <c r="D674" s="5"/>
      <c r="E674" s="5"/>
      <c r="F674" s="5"/>
      <c r="G674" s="5"/>
      <c r="H674" s="5"/>
      <c r="M674" s="5"/>
      <c r="N674" s="5"/>
      <c r="P674" s="5"/>
    </row>
    <row r="675" spans="2:16" ht="14.25" customHeight="1">
      <c r="B675" s="5"/>
      <c r="C675" s="5"/>
      <c r="D675" s="5"/>
      <c r="E675" s="5"/>
      <c r="F675" s="5"/>
      <c r="G675" s="5"/>
      <c r="H675" s="5"/>
      <c r="M675" s="5"/>
      <c r="N675" s="5"/>
      <c r="P675" s="5"/>
    </row>
    <row r="676" spans="2:16" ht="14.25" customHeight="1">
      <c r="B676" s="5"/>
      <c r="C676" s="5"/>
      <c r="D676" s="5"/>
      <c r="E676" s="5"/>
      <c r="F676" s="5"/>
      <c r="G676" s="5"/>
      <c r="H676" s="5"/>
      <c r="M676" s="5"/>
      <c r="N676" s="5"/>
      <c r="P676" s="5"/>
    </row>
    <row r="677" spans="2:16" ht="14.25" customHeight="1">
      <c r="B677" s="5"/>
      <c r="C677" s="5"/>
      <c r="D677" s="5"/>
      <c r="E677" s="5"/>
      <c r="F677" s="5"/>
      <c r="G677" s="5"/>
      <c r="H677" s="5"/>
      <c r="M677" s="5"/>
      <c r="N677" s="5"/>
      <c r="P677" s="5"/>
    </row>
    <row r="678" spans="2:16" ht="14.25" customHeight="1">
      <c r="B678" s="5"/>
      <c r="C678" s="5"/>
      <c r="D678" s="5"/>
      <c r="E678" s="5"/>
      <c r="F678" s="5"/>
      <c r="G678" s="5"/>
      <c r="H678" s="5"/>
      <c r="M678" s="5"/>
      <c r="N678" s="5"/>
      <c r="P678" s="5"/>
    </row>
    <row r="679" spans="2:16" ht="14.25" customHeight="1">
      <c r="B679" s="5"/>
      <c r="C679" s="5"/>
      <c r="D679" s="5"/>
      <c r="E679" s="5"/>
      <c r="F679" s="5"/>
      <c r="G679" s="5"/>
      <c r="H679" s="5"/>
      <c r="M679" s="5"/>
      <c r="N679" s="5"/>
      <c r="P679" s="5"/>
    </row>
    <row r="680" spans="2:16" ht="14.25" customHeight="1">
      <c r="B680" s="5"/>
      <c r="C680" s="5"/>
      <c r="D680" s="5"/>
      <c r="E680" s="5"/>
      <c r="F680" s="5"/>
      <c r="G680" s="5"/>
      <c r="H680" s="5"/>
      <c r="M680" s="5"/>
      <c r="N680" s="5"/>
      <c r="P680" s="5"/>
    </row>
    <row r="681" spans="2:16" ht="14.25" customHeight="1">
      <c r="B681" s="5"/>
      <c r="C681" s="5"/>
      <c r="D681" s="5"/>
      <c r="E681" s="5"/>
      <c r="F681" s="5"/>
      <c r="G681" s="5"/>
      <c r="H681" s="5"/>
      <c r="M681" s="5"/>
      <c r="N681" s="5"/>
      <c r="P681" s="5"/>
    </row>
    <row r="682" spans="2:16" ht="14.25" customHeight="1">
      <c r="B682" s="5"/>
      <c r="C682" s="5"/>
      <c r="D682" s="5"/>
      <c r="E682" s="5"/>
      <c r="F682" s="5"/>
      <c r="G682" s="5"/>
      <c r="H682" s="5"/>
      <c r="M682" s="5"/>
      <c r="N682" s="5"/>
      <c r="P682" s="5"/>
    </row>
    <row r="683" spans="2:16" ht="14.25" customHeight="1">
      <c r="B683" s="5"/>
      <c r="C683" s="5"/>
      <c r="D683" s="5"/>
      <c r="E683" s="5"/>
      <c r="F683" s="5"/>
      <c r="G683" s="5"/>
      <c r="H683" s="5"/>
      <c r="M683" s="5"/>
      <c r="N683" s="5"/>
      <c r="P683" s="5"/>
    </row>
    <row r="684" spans="2:16" ht="14.25" customHeight="1">
      <c r="B684" s="5"/>
      <c r="C684" s="5"/>
      <c r="D684" s="5"/>
      <c r="E684" s="5"/>
      <c r="F684" s="5"/>
      <c r="G684" s="5"/>
      <c r="H684" s="5"/>
      <c r="M684" s="5"/>
      <c r="N684" s="5"/>
      <c r="P684" s="5"/>
    </row>
    <row r="685" spans="2:16" ht="14.25" customHeight="1">
      <c r="B685" s="5"/>
      <c r="C685" s="5"/>
      <c r="D685" s="5"/>
      <c r="E685" s="5"/>
      <c r="F685" s="5"/>
      <c r="G685" s="5"/>
      <c r="H685" s="5"/>
      <c r="M685" s="5"/>
      <c r="N685" s="5"/>
      <c r="P685" s="5"/>
    </row>
    <row r="686" spans="2:16" ht="14.25" customHeight="1">
      <c r="B686" s="5"/>
      <c r="C686" s="5"/>
      <c r="D686" s="5"/>
      <c r="E686" s="5"/>
      <c r="F686" s="5"/>
      <c r="G686" s="5"/>
      <c r="H686" s="5"/>
      <c r="M686" s="5"/>
      <c r="N686" s="5"/>
      <c r="P686" s="5"/>
    </row>
    <row r="687" spans="2:16" ht="14.25" customHeight="1">
      <c r="B687" s="5"/>
      <c r="C687" s="5"/>
      <c r="D687" s="5"/>
      <c r="E687" s="5"/>
      <c r="F687" s="5"/>
      <c r="G687" s="5"/>
      <c r="H687" s="5"/>
      <c r="M687" s="5"/>
      <c r="N687" s="5"/>
      <c r="P687" s="5"/>
    </row>
    <row r="688" spans="2:16" ht="14.25" customHeight="1">
      <c r="B688" s="5"/>
      <c r="C688" s="5"/>
      <c r="D688" s="5"/>
      <c r="E688" s="5"/>
      <c r="F688" s="5"/>
      <c r="G688" s="5"/>
      <c r="H688" s="5"/>
      <c r="M688" s="5"/>
      <c r="N688" s="5"/>
      <c r="P688" s="5"/>
    </row>
    <row r="689" spans="2:16" ht="14.25" customHeight="1">
      <c r="B689" s="5"/>
      <c r="C689" s="5"/>
      <c r="D689" s="5"/>
      <c r="E689" s="5"/>
      <c r="F689" s="5"/>
      <c r="G689" s="5"/>
      <c r="H689" s="5"/>
      <c r="M689" s="5"/>
      <c r="N689" s="5"/>
      <c r="P689" s="5"/>
    </row>
    <row r="690" spans="2:16" ht="14.25" customHeight="1">
      <c r="B690" s="5"/>
      <c r="C690" s="5"/>
      <c r="D690" s="5"/>
      <c r="E690" s="5"/>
      <c r="F690" s="5"/>
      <c r="G690" s="5"/>
      <c r="H690" s="5"/>
      <c r="M690" s="5"/>
      <c r="N690" s="5"/>
      <c r="P690" s="5"/>
    </row>
    <row r="691" spans="2:16" ht="14.25" customHeight="1">
      <c r="B691" s="5"/>
      <c r="C691" s="5"/>
      <c r="D691" s="5"/>
      <c r="E691" s="5"/>
      <c r="F691" s="5"/>
      <c r="G691" s="5"/>
      <c r="H691" s="5"/>
      <c r="M691" s="5"/>
      <c r="N691" s="5"/>
      <c r="P691" s="5"/>
    </row>
    <row r="692" spans="2:16" ht="14.25" customHeight="1">
      <c r="B692" s="5"/>
      <c r="C692" s="5"/>
      <c r="D692" s="5"/>
      <c r="E692" s="5"/>
      <c r="F692" s="5"/>
      <c r="G692" s="5"/>
      <c r="H692" s="5"/>
      <c r="M692" s="5"/>
      <c r="N692" s="5"/>
      <c r="P692" s="5"/>
    </row>
    <row r="693" spans="2:16" ht="14.25" customHeight="1">
      <c r="B693" s="5"/>
      <c r="C693" s="5"/>
      <c r="D693" s="5"/>
      <c r="E693" s="5"/>
      <c r="F693" s="5"/>
      <c r="G693" s="5"/>
      <c r="H693" s="5"/>
      <c r="M693" s="5"/>
      <c r="N693" s="5"/>
      <c r="P693" s="5"/>
    </row>
    <row r="694" spans="2:16" ht="14.25" customHeight="1">
      <c r="B694" s="5"/>
      <c r="C694" s="5"/>
      <c r="D694" s="5"/>
      <c r="E694" s="5"/>
      <c r="F694" s="5"/>
      <c r="G694" s="5"/>
      <c r="H694" s="5"/>
      <c r="M694" s="5"/>
      <c r="N694" s="5"/>
      <c r="P694" s="5"/>
    </row>
    <row r="695" spans="2:16" ht="14.25" customHeight="1">
      <c r="B695" s="5"/>
      <c r="C695" s="5"/>
      <c r="D695" s="5"/>
      <c r="E695" s="5"/>
      <c r="F695" s="5"/>
      <c r="G695" s="5"/>
      <c r="H695" s="5"/>
      <c r="M695" s="5"/>
      <c r="N695" s="5"/>
      <c r="P695" s="5"/>
    </row>
    <row r="696" spans="2:16" ht="14.25" customHeight="1">
      <c r="B696" s="5"/>
      <c r="C696" s="5"/>
      <c r="D696" s="5"/>
      <c r="E696" s="5"/>
      <c r="F696" s="5"/>
      <c r="G696" s="5"/>
      <c r="H696" s="5"/>
      <c r="M696" s="5"/>
      <c r="N696" s="5"/>
      <c r="P696" s="5"/>
    </row>
    <row r="697" spans="2:16" ht="14.25" customHeight="1">
      <c r="B697" s="5"/>
      <c r="C697" s="5"/>
      <c r="D697" s="5"/>
      <c r="E697" s="5"/>
      <c r="F697" s="5"/>
      <c r="G697" s="5"/>
      <c r="H697" s="5"/>
      <c r="M697" s="5"/>
      <c r="N697" s="5"/>
      <c r="P697" s="5"/>
    </row>
    <row r="698" spans="2:16" ht="14.25" customHeight="1">
      <c r="B698" s="5"/>
      <c r="C698" s="5"/>
      <c r="D698" s="5"/>
      <c r="E698" s="5"/>
      <c r="F698" s="5"/>
      <c r="G698" s="5"/>
      <c r="H698" s="5"/>
      <c r="M698" s="5"/>
      <c r="N698" s="5"/>
      <c r="P698" s="5"/>
    </row>
    <row r="699" spans="2:16" ht="14.25" customHeight="1">
      <c r="B699" s="5"/>
      <c r="C699" s="5"/>
      <c r="D699" s="5"/>
      <c r="E699" s="5"/>
      <c r="F699" s="5"/>
      <c r="G699" s="5"/>
      <c r="H699" s="5"/>
      <c r="M699" s="5"/>
      <c r="N699" s="5"/>
      <c r="P699" s="5"/>
    </row>
    <row r="700" spans="2:16" ht="14.25" customHeight="1">
      <c r="B700" s="5"/>
      <c r="C700" s="5"/>
      <c r="D700" s="5"/>
      <c r="E700" s="5"/>
      <c r="F700" s="5"/>
      <c r="G700" s="5"/>
      <c r="H700" s="5"/>
      <c r="M700" s="5"/>
      <c r="N700" s="5"/>
      <c r="P700" s="5"/>
    </row>
    <row r="701" spans="2:16" ht="14.25" customHeight="1">
      <c r="B701" s="5"/>
      <c r="C701" s="5"/>
      <c r="D701" s="5"/>
      <c r="E701" s="5"/>
      <c r="F701" s="5"/>
      <c r="G701" s="5"/>
      <c r="H701" s="5"/>
      <c r="M701" s="5"/>
      <c r="N701" s="5"/>
      <c r="P701" s="5"/>
    </row>
    <row r="702" spans="2:16" ht="14.25" customHeight="1">
      <c r="B702" s="5"/>
      <c r="C702" s="5"/>
      <c r="D702" s="5"/>
      <c r="E702" s="5"/>
      <c r="F702" s="5"/>
      <c r="G702" s="5"/>
      <c r="H702" s="5"/>
      <c r="M702" s="5"/>
      <c r="N702" s="5"/>
      <c r="P702" s="5"/>
    </row>
    <row r="703" spans="2:16" ht="14.25" customHeight="1">
      <c r="B703" s="5"/>
      <c r="C703" s="5"/>
      <c r="D703" s="5"/>
      <c r="E703" s="5"/>
      <c r="F703" s="5"/>
      <c r="G703" s="5"/>
      <c r="H703" s="5"/>
      <c r="M703" s="5"/>
      <c r="N703" s="5"/>
      <c r="P703" s="5"/>
    </row>
    <row r="704" spans="2:16" ht="14.25" customHeight="1">
      <c r="B704" s="5"/>
      <c r="C704" s="5"/>
      <c r="D704" s="5"/>
      <c r="E704" s="5"/>
      <c r="F704" s="5"/>
      <c r="G704" s="5"/>
      <c r="H704" s="5"/>
      <c r="M704" s="5"/>
      <c r="N704" s="5"/>
      <c r="P704" s="5"/>
    </row>
    <row r="705" spans="2:16" ht="14.25" customHeight="1">
      <c r="B705" s="5"/>
      <c r="C705" s="5"/>
      <c r="D705" s="5"/>
      <c r="E705" s="5"/>
      <c r="F705" s="5"/>
      <c r="G705" s="5"/>
      <c r="H705" s="5"/>
      <c r="M705" s="5"/>
      <c r="N705" s="5"/>
      <c r="P705" s="5"/>
    </row>
    <row r="706" spans="2:16" ht="14.25" customHeight="1">
      <c r="B706" s="5"/>
      <c r="C706" s="5"/>
      <c r="D706" s="5"/>
      <c r="E706" s="5"/>
      <c r="F706" s="5"/>
      <c r="G706" s="5"/>
      <c r="H706" s="5"/>
      <c r="M706" s="5"/>
      <c r="N706" s="5"/>
      <c r="P706" s="5"/>
    </row>
    <row r="707" spans="2:16" ht="14.25" customHeight="1">
      <c r="B707" s="5"/>
      <c r="C707" s="5"/>
      <c r="D707" s="5"/>
      <c r="E707" s="5"/>
      <c r="F707" s="5"/>
      <c r="G707" s="5"/>
      <c r="H707" s="5"/>
      <c r="M707" s="5"/>
      <c r="N707" s="5"/>
      <c r="P707" s="5"/>
    </row>
    <row r="708" spans="2:16" ht="14.25" customHeight="1">
      <c r="B708" s="5"/>
      <c r="C708" s="5"/>
      <c r="D708" s="5"/>
      <c r="E708" s="5"/>
      <c r="F708" s="5"/>
      <c r="G708" s="5"/>
      <c r="H708" s="5"/>
      <c r="M708" s="5"/>
      <c r="N708" s="5"/>
      <c r="P708" s="5"/>
    </row>
    <row r="709" spans="2:16" ht="14.25" customHeight="1">
      <c r="B709" s="5"/>
      <c r="C709" s="5"/>
      <c r="D709" s="5"/>
      <c r="E709" s="5"/>
      <c r="F709" s="5"/>
      <c r="G709" s="5"/>
      <c r="H709" s="5"/>
      <c r="M709" s="5"/>
      <c r="N709" s="5"/>
      <c r="P709" s="5"/>
    </row>
    <row r="710" spans="2:16" ht="14.25" customHeight="1">
      <c r="B710" s="5"/>
      <c r="C710" s="5"/>
      <c r="D710" s="5"/>
      <c r="E710" s="5"/>
      <c r="F710" s="5"/>
      <c r="G710" s="5"/>
      <c r="H710" s="5"/>
      <c r="M710" s="5"/>
      <c r="N710" s="5"/>
      <c r="P710" s="5"/>
    </row>
    <row r="711" spans="2:16" ht="14.25" customHeight="1">
      <c r="B711" s="5"/>
      <c r="C711" s="5"/>
      <c r="D711" s="5"/>
      <c r="E711" s="5"/>
      <c r="F711" s="5"/>
      <c r="G711" s="5"/>
      <c r="H711" s="5"/>
      <c r="M711" s="5"/>
      <c r="N711" s="5"/>
      <c r="P711" s="5"/>
    </row>
    <row r="712" spans="2:16" ht="14.25" customHeight="1">
      <c r="B712" s="5"/>
      <c r="C712" s="5"/>
      <c r="D712" s="5"/>
      <c r="E712" s="5"/>
      <c r="F712" s="5"/>
      <c r="G712" s="5"/>
      <c r="H712" s="5"/>
      <c r="M712" s="5"/>
      <c r="N712" s="5"/>
      <c r="P712" s="5"/>
    </row>
    <row r="713" spans="2:16" ht="14.25" customHeight="1">
      <c r="B713" s="5"/>
      <c r="C713" s="5"/>
      <c r="D713" s="5"/>
      <c r="E713" s="5"/>
      <c r="F713" s="5"/>
      <c r="G713" s="5"/>
      <c r="H713" s="5"/>
      <c r="M713" s="5"/>
      <c r="N713" s="5"/>
      <c r="P713" s="5"/>
    </row>
    <row r="714" spans="2:16" ht="14.25" customHeight="1">
      <c r="B714" s="5"/>
      <c r="C714" s="5"/>
      <c r="D714" s="5"/>
      <c r="E714" s="5"/>
      <c r="F714" s="5"/>
      <c r="G714" s="5"/>
      <c r="H714" s="5"/>
      <c r="M714" s="5"/>
      <c r="N714" s="5"/>
      <c r="P714" s="5"/>
    </row>
    <row r="715" spans="2:16" ht="14.25" customHeight="1">
      <c r="B715" s="5"/>
      <c r="C715" s="5"/>
      <c r="D715" s="5"/>
      <c r="E715" s="5"/>
      <c r="F715" s="5"/>
      <c r="G715" s="5"/>
      <c r="H715" s="5"/>
      <c r="M715" s="5"/>
      <c r="N715" s="5"/>
      <c r="P715" s="5"/>
    </row>
    <row r="716" spans="2:16" ht="14.25" customHeight="1">
      <c r="B716" s="5"/>
      <c r="C716" s="5"/>
      <c r="D716" s="5"/>
      <c r="E716" s="5"/>
      <c r="F716" s="5"/>
      <c r="G716" s="5"/>
      <c r="H716" s="5"/>
      <c r="M716" s="5"/>
      <c r="N716" s="5"/>
      <c r="P716" s="5"/>
    </row>
    <row r="717" spans="2:16" ht="14.25" customHeight="1">
      <c r="B717" s="5"/>
      <c r="C717" s="5"/>
      <c r="D717" s="5"/>
      <c r="E717" s="5"/>
      <c r="F717" s="5"/>
      <c r="G717" s="5"/>
      <c r="H717" s="5"/>
      <c r="M717" s="5"/>
      <c r="N717" s="5"/>
      <c r="P717" s="5"/>
    </row>
    <row r="718" spans="2:16" ht="14.25" customHeight="1">
      <c r="B718" s="5"/>
      <c r="C718" s="5"/>
      <c r="D718" s="5"/>
      <c r="E718" s="5"/>
      <c r="F718" s="5"/>
      <c r="G718" s="5"/>
      <c r="H718" s="5"/>
      <c r="M718" s="5"/>
      <c r="N718" s="5"/>
      <c r="P718" s="5"/>
    </row>
    <row r="719" spans="2:16" ht="14.25" customHeight="1">
      <c r="B719" s="5"/>
      <c r="C719" s="5"/>
      <c r="D719" s="5"/>
      <c r="E719" s="5"/>
      <c r="F719" s="5"/>
      <c r="G719" s="5"/>
      <c r="H719" s="5"/>
      <c r="M719" s="5"/>
      <c r="N719" s="5"/>
      <c r="P719" s="5"/>
    </row>
    <row r="720" spans="2:16" ht="14.25" customHeight="1">
      <c r="B720" s="5"/>
      <c r="C720" s="5"/>
      <c r="D720" s="5"/>
      <c r="E720" s="5"/>
      <c r="F720" s="5"/>
      <c r="G720" s="5"/>
      <c r="H720" s="5"/>
      <c r="M720" s="5"/>
      <c r="N720" s="5"/>
      <c r="P720" s="5"/>
    </row>
    <row r="721" spans="2:16" ht="14.25" customHeight="1">
      <c r="B721" s="5"/>
      <c r="C721" s="5"/>
      <c r="D721" s="5"/>
      <c r="E721" s="5"/>
      <c r="F721" s="5"/>
      <c r="G721" s="5"/>
      <c r="H721" s="5"/>
      <c r="M721" s="5"/>
      <c r="N721" s="5"/>
      <c r="P721" s="5"/>
    </row>
    <row r="722" spans="2:16" ht="14.25" customHeight="1">
      <c r="B722" s="5"/>
      <c r="C722" s="5"/>
      <c r="D722" s="5"/>
      <c r="E722" s="5"/>
      <c r="F722" s="5"/>
      <c r="G722" s="5"/>
      <c r="H722" s="5"/>
      <c r="M722" s="5"/>
      <c r="N722" s="5"/>
      <c r="P722" s="5"/>
    </row>
    <row r="723" spans="2:16" ht="14.25" customHeight="1">
      <c r="B723" s="5"/>
      <c r="C723" s="5"/>
      <c r="D723" s="5"/>
      <c r="E723" s="5"/>
      <c r="F723" s="5"/>
      <c r="G723" s="5"/>
      <c r="H723" s="5"/>
      <c r="M723" s="5"/>
      <c r="N723" s="5"/>
      <c r="P723" s="5"/>
    </row>
    <row r="724" spans="2:16" ht="14.25" customHeight="1">
      <c r="B724" s="5"/>
      <c r="C724" s="5"/>
      <c r="D724" s="5"/>
      <c r="E724" s="5"/>
      <c r="F724" s="5"/>
      <c r="G724" s="5"/>
      <c r="H724" s="5"/>
      <c r="M724" s="5"/>
      <c r="N724" s="5"/>
      <c r="P724" s="5"/>
    </row>
    <row r="725" spans="2:16" ht="14.25" customHeight="1">
      <c r="B725" s="5"/>
      <c r="C725" s="5"/>
      <c r="D725" s="5"/>
      <c r="E725" s="5"/>
      <c r="F725" s="5"/>
      <c r="G725" s="5"/>
      <c r="H725" s="5"/>
      <c r="M725" s="5"/>
      <c r="N725" s="5"/>
      <c r="P725" s="5"/>
    </row>
    <row r="726" spans="2:16" ht="14.25" customHeight="1">
      <c r="B726" s="5"/>
      <c r="C726" s="5"/>
      <c r="D726" s="5"/>
      <c r="E726" s="5"/>
      <c r="F726" s="5"/>
      <c r="G726" s="5"/>
      <c r="H726" s="5"/>
      <c r="M726" s="5"/>
      <c r="N726" s="5"/>
      <c r="P726" s="5"/>
    </row>
    <row r="727" spans="2:16" ht="14.25" customHeight="1">
      <c r="B727" s="5"/>
      <c r="C727" s="5"/>
      <c r="D727" s="5"/>
      <c r="E727" s="5"/>
      <c r="F727" s="5"/>
      <c r="G727" s="5"/>
      <c r="H727" s="5"/>
      <c r="M727" s="5"/>
      <c r="N727" s="5"/>
      <c r="P727" s="5"/>
    </row>
    <row r="728" spans="2:16" ht="14.25" customHeight="1">
      <c r="B728" s="5"/>
      <c r="C728" s="5"/>
      <c r="D728" s="5"/>
      <c r="E728" s="5"/>
      <c r="F728" s="5"/>
      <c r="G728" s="5"/>
      <c r="H728" s="5"/>
      <c r="M728" s="5"/>
      <c r="N728" s="5"/>
      <c r="P728" s="5"/>
    </row>
    <row r="729" spans="2:16" ht="14.25" customHeight="1">
      <c r="B729" s="5"/>
      <c r="C729" s="5"/>
      <c r="D729" s="5"/>
      <c r="E729" s="5"/>
      <c r="F729" s="5"/>
      <c r="G729" s="5"/>
      <c r="H729" s="5"/>
      <c r="M729" s="5"/>
      <c r="N729" s="5"/>
      <c r="P729" s="5"/>
    </row>
    <row r="730" spans="2:16" ht="14.25" customHeight="1">
      <c r="B730" s="5"/>
      <c r="C730" s="5"/>
      <c r="D730" s="5"/>
      <c r="E730" s="5"/>
      <c r="F730" s="5"/>
      <c r="G730" s="5"/>
      <c r="H730" s="5"/>
      <c r="M730" s="5"/>
      <c r="N730" s="5"/>
      <c r="P730" s="5"/>
    </row>
    <row r="731" spans="2:16" ht="14.25" customHeight="1">
      <c r="B731" s="5"/>
      <c r="C731" s="5"/>
      <c r="D731" s="5"/>
      <c r="E731" s="5"/>
      <c r="F731" s="5"/>
      <c r="G731" s="5"/>
      <c r="H731" s="5"/>
      <c r="M731" s="5"/>
      <c r="N731" s="5"/>
      <c r="P731" s="5"/>
    </row>
    <row r="732" spans="2:16" ht="14.25" customHeight="1">
      <c r="B732" s="5"/>
      <c r="C732" s="5"/>
      <c r="D732" s="5"/>
      <c r="E732" s="5"/>
      <c r="F732" s="5"/>
      <c r="G732" s="5"/>
      <c r="H732" s="5"/>
      <c r="M732" s="5"/>
      <c r="N732" s="5"/>
      <c r="P732" s="5"/>
    </row>
    <row r="733" spans="2:16" ht="14.25" customHeight="1">
      <c r="B733" s="5"/>
      <c r="C733" s="5"/>
      <c r="D733" s="5"/>
      <c r="E733" s="5"/>
      <c r="F733" s="5"/>
      <c r="G733" s="5"/>
      <c r="H733" s="5"/>
      <c r="M733" s="5"/>
      <c r="N733" s="5"/>
      <c r="P733" s="5"/>
    </row>
    <row r="734" spans="2:16" ht="14.25" customHeight="1">
      <c r="B734" s="5"/>
      <c r="C734" s="5"/>
      <c r="D734" s="5"/>
      <c r="E734" s="5"/>
      <c r="F734" s="5"/>
      <c r="G734" s="5"/>
      <c r="H734" s="5"/>
      <c r="M734" s="5"/>
      <c r="N734" s="5"/>
      <c r="P734" s="5"/>
    </row>
    <row r="735" spans="2:16" ht="14.25" customHeight="1">
      <c r="B735" s="5"/>
      <c r="C735" s="5"/>
      <c r="D735" s="5"/>
      <c r="E735" s="5"/>
      <c r="F735" s="5"/>
      <c r="G735" s="5"/>
      <c r="H735" s="5"/>
      <c r="M735" s="5"/>
      <c r="N735" s="5"/>
      <c r="P735" s="5"/>
    </row>
    <row r="736" spans="2:16" ht="14.25" customHeight="1">
      <c r="B736" s="5"/>
      <c r="C736" s="5"/>
      <c r="D736" s="5"/>
      <c r="E736" s="5"/>
      <c r="F736" s="5"/>
      <c r="G736" s="5"/>
      <c r="H736" s="5"/>
      <c r="M736" s="5"/>
      <c r="N736" s="5"/>
      <c r="P736" s="5"/>
    </row>
    <row r="737" spans="2:16" ht="14.25" customHeight="1">
      <c r="B737" s="5"/>
      <c r="C737" s="5"/>
      <c r="D737" s="5"/>
      <c r="E737" s="5"/>
      <c r="F737" s="5"/>
      <c r="G737" s="5"/>
      <c r="H737" s="5"/>
      <c r="M737" s="5"/>
      <c r="N737" s="5"/>
      <c r="P737" s="5"/>
    </row>
    <row r="738" spans="2:16" ht="14.25" customHeight="1">
      <c r="B738" s="5"/>
      <c r="C738" s="5"/>
      <c r="D738" s="5"/>
      <c r="E738" s="5"/>
      <c r="F738" s="5"/>
      <c r="G738" s="5"/>
      <c r="H738" s="5"/>
      <c r="M738" s="5"/>
      <c r="N738" s="5"/>
      <c r="P738" s="5"/>
    </row>
    <row r="739" spans="2:16" ht="14.25" customHeight="1">
      <c r="B739" s="5"/>
      <c r="C739" s="5"/>
      <c r="D739" s="5"/>
      <c r="E739" s="5"/>
      <c r="F739" s="5"/>
      <c r="G739" s="5"/>
      <c r="H739" s="5"/>
      <c r="M739" s="5"/>
      <c r="N739" s="5"/>
      <c r="P739" s="5"/>
    </row>
    <row r="740" spans="2:16" ht="14.25" customHeight="1">
      <c r="B740" s="5"/>
      <c r="C740" s="5"/>
      <c r="D740" s="5"/>
      <c r="E740" s="5"/>
      <c r="F740" s="5"/>
      <c r="G740" s="5"/>
      <c r="H740" s="5"/>
      <c r="M740" s="5"/>
      <c r="N740" s="5"/>
      <c r="P740" s="5"/>
    </row>
    <row r="741" spans="2:16" ht="14.25" customHeight="1">
      <c r="B741" s="5"/>
      <c r="C741" s="5"/>
      <c r="D741" s="5"/>
      <c r="E741" s="5"/>
      <c r="F741" s="5"/>
      <c r="G741" s="5"/>
      <c r="H741" s="5"/>
      <c r="M741" s="5"/>
      <c r="N741" s="5"/>
      <c r="P741" s="5"/>
    </row>
    <row r="742" spans="2:16" ht="14.25" customHeight="1">
      <c r="B742" s="5"/>
      <c r="C742" s="5"/>
      <c r="D742" s="5"/>
      <c r="E742" s="5"/>
      <c r="F742" s="5"/>
      <c r="G742" s="5"/>
      <c r="H742" s="5"/>
      <c r="M742" s="5"/>
      <c r="N742" s="5"/>
      <c r="P742" s="5"/>
    </row>
    <row r="743" spans="2:16" ht="14.25" customHeight="1">
      <c r="B743" s="5"/>
      <c r="C743" s="5"/>
      <c r="D743" s="5"/>
      <c r="E743" s="5"/>
      <c r="F743" s="5"/>
      <c r="G743" s="5"/>
      <c r="H743" s="5"/>
      <c r="M743" s="5"/>
      <c r="N743" s="5"/>
      <c r="P743" s="5"/>
    </row>
    <row r="744" spans="2:16" ht="14.25" customHeight="1">
      <c r="B744" s="5"/>
      <c r="C744" s="5"/>
      <c r="D744" s="5"/>
      <c r="E744" s="5"/>
      <c r="F744" s="5"/>
      <c r="G744" s="5"/>
      <c r="H744" s="5"/>
      <c r="M744" s="5"/>
      <c r="N744" s="5"/>
      <c r="P744" s="5"/>
    </row>
    <row r="745" spans="2:16" ht="14.25" customHeight="1">
      <c r="B745" s="5"/>
      <c r="C745" s="5"/>
      <c r="D745" s="5"/>
      <c r="E745" s="5"/>
      <c r="F745" s="5"/>
      <c r="G745" s="5"/>
      <c r="H745" s="5"/>
      <c r="M745" s="5"/>
      <c r="N745" s="5"/>
      <c r="P745" s="5"/>
    </row>
    <row r="746" spans="2:16" ht="14.25" customHeight="1">
      <c r="B746" s="5"/>
      <c r="C746" s="5"/>
      <c r="D746" s="5"/>
      <c r="E746" s="5"/>
      <c r="F746" s="5"/>
      <c r="G746" s="5"/>
      <c r="H746" s="5"/>
      <c r="M746" s="5"/>
      <c r="N746" s="5"/>
      <c r="P746" s="5"/>
    </row>
    <row r="747" spans="2:16" ht="14.25" customHeight="1">
      <c r="B747" s="5"/>
      <c r="C747" s="5"/>
      <c r="D747" s="5"/>
      <c r="E747" s="5"/>
      <c r="F747" s="5"/>
      <c r="G747" s="5"/>
      <c r="H747" s="5"/>
      <c r="M747" s="5"/>
      <c r="N747" s="5"/>
      <c r="P747" s="5"/>
    </row>
    <row r="748" spans="2:16" ht="14.25" customHeight="1">
      <c r="B748" s="5"/>
      <c r="C748" s="5"/>
      <c r="D748" s="5"/>
      <c r="E748" s="5"/>
      <c r="F748" s="5"/>
      <c r="G748" s="5"/>
      <c r="H748" s="5"/>
      <c r="M748" s="5"/>
      <c r="N748" s="5"/>
      <c r="P748" s="5"/>
    </row>
    <row r="749" spans="2:16" ht="14.25" customHeight="1">
      <c r="B749" s="5"/>
      <c r="C749" s="5"/>
      <c r="D749" s="5"/>
      <c r="E749" s="5"/>
      <c r="F749" s="5"/>
      <c r="G749" s="5"/>
      <c r="H749" s="5"/>
      <c r="M749" s="5"/>
      <c r="N749" s="5"/>
      <c r="P749" s="5"/>
    </row>
    <row r="750" spans="2:16" ht="14.25" customHeight="1">
      <c r="B750" s="5"/>
      <c r="C750" s="5"/>
      <c r="D750" s="5"/>
      <c r="E750" s="5"/>
      <c r="F750" s="5"/>
      <c r="G750" s="5"/>
      <c r="H750" s="5"/>
      <c r="M750" s="5"/>
      <c r="N750" s="5"/>
      <c r="P750" s="5"/>
    </row>
    <row r="751" spans="2:16" ht="14.25" customHeight="1">
      <c r="B751" s="5"/>
      <c r="C751" s="5"/>
      <c r="D751" s="5"/>
      <c r="E751" s="5"/>
      <c r="F751" s="5"/>
      <c r="G751" s="5"/>
      <c r="H751" s="5"/>
      <c r="M751" s="5"/>
      <c r="N751" s="5"/>
      <c r="P751" s="5"/>
    </row>
    <row r="752" spans="2:16" ht="14.25" customHeight="1">
      <c r="B752" s="5"/>
      <c r="C752" s="5"/>
      <c r="D752" s="5"/>
      <c r="E752" s="5"/>
      <c r="F752" s="5"/>
      <c r="G752" s="5"/>
      <c r="H752" s="5"/>
      <c r="M752" s="5"/>
      <c r="N752" s="5"/>
      <c r="P752" s="5"/>
    </row>
    <row r="753" spans="2:16" ht="14.25" customHeight="1">
      <c r="B753" s="5"/>
      <c r="C753" s="5"/>
      <c r="D753" s="5"/>
      <c r="E753" s="5"/>
      <c r="F753" s="5"/>
      <c r="G753" s="5"/>
      <c r="H753" s="5"/>
      <c r="M753" s="5"/>
      <c r="N753" s="5"/>
      <c r="P753" s="5"/>
    </row>
    <row r="754" spans="2:16" ht="14.25" customHeight="1">
      <c r="B754" s="5"/>
      <c r="C754" s="5"/>
      <c r="D754" s="5"/>
      <c r="E754" s="5"/>
      <c r="F754" s="5"/>
      <c r="G754" s="5"/>
      <c r="H754" s="5"/>
      <c r="M754" s="5"/>
      <c r="N754" s="5"/>
      <c r="P754" s="5"/>
    </row>
    <row r="755" spans="2:16" ht="14.25" customHeight="1">
      <c r="B755" s="5"/>
      <c r="C755" s="5"/>
      <c r="D755" s="5"/>
      <c r="E755" s="5"/>
      <c r="F755" s="5"/>
      <c r="G755" s="5"/>
      <c r="H755" s="5"/>
      <c r="M755" s="5"/>
      <c r="N755" s="5"/>
      <c r="P755" s="5"/>
    </row>
    <row r="756" spans="2:16" ht="14.25" customHeight="1">
      <c r="B756" s="5"/>
      <c r="C756" s="5"/>
      <c r="D756" s="5"/>
      <c r="E756" s="5"/>
      <c r="F756" s="5"/>
      <c r="G756" s="5"/>
      <c r="H756" s="5"/>
      <c r="M756" s="5"/>
      <c r="N756" s="5"/>
      <c r="P756" s="5"/>
    </row>
    <row r="757" spans="2:16" ht="14.25" customHeight="1">
      <c r="B757" s="5"/>
      <c r="C757" s="5"/>
      <c r="D757" s="5"/>
      <c r="E757" s="5"/>
      <c r="F757" s="5"/>
      <c r="G757" s="5"/>
      <c r="H757" s="5"/>
      <c r="M757" s="5"/>
      <c r="N757" s="5"/>
      <c r="P757" s="5"/>
    </row>
    <row r="758" spans="2:16" ht="14.25" customHeight="1">
      <c r="B758" s="5"/>
      <c r="C758" s="5"/>
      <c r="D758" s="5"/>
      <c r="E758" s="5"/>
      <c r="F758" s="5"/>
      <c r="G758" s="5"/>
      <c r="H758" s="5"/>
      <c r="M758" s="5"/>
      <c r="N758" s="5"/>
      <c r="P758" s="5"/>
    </row>
    <row r="759" spans="2:16" ht="14.25" customHeight="1">
      <c r="B759" s="5"/>
      <c r="C759" s="5"/>
      <c r="D759" s="5"/>
      <c r="E759" s="5"/>
      <c r="F759" s="5"/>
      <c r="G759" s="5"/>
      <c r="H759" s="5"/>
      <c r="M759" s="5"/>
      <c r="N759" s="5"/>
      <c r="P759" s="5"/>
    </row>
    <row r="760" spans="2:16" ht="14.25" customHeight="1">
      <c r="B760" s="5"/>
      <c r="C760" s="5"/>
      <c r="D760" s="5"/>
      <c r="E760" s="5"/>
      <c r="F760" s="5"/>
      <c r="G760" s="5"/>
      <c r="H760" s="5"/>
      <c r="M760" s="5"/>
      <c r="N760" s="5"/>
      <c r="P760" s="5"/>
    </row>
    <row r="761" spans="2:16" ht="14.25" customHeight="1">
      <c r="B761" s="5"/>
      <c r="C761" s="5"/>
      <c r="D761" s="5"/>
      <c r="E761" s="5"/>
      <c r="F761" s="5"/>
      <c r="G761" s="5"/>
      <c r="H761" s="5"/>
      <c r="M761" s="5"/>
      <c r="N761" s="5"/>
      <c r="P761" s="5"/>
    </row>
    <row r="762" spans="2:16" ht="14.25" customHeight="1">
      <c r="B762" s="5"/>
      <c r="C762" s="5"/>
      <c r="D762" s="5"/>
      <c r="E762" s="5"/>
      <c r="F762" s="5"/>
      <c r="G762" s="5"/>
      <c r="H762" s="5"/>
      <c r="M762" s="5"/>
      <c r="N762" s="5"/>
      <c r="P762" s="5"/>
    </row>
    <row r="763" spans="2:16" ht="14.25" customHeight="1">
      <c r="B763" s="5"/>
      <c r="C763" s="5"/>
      <c r="D763" s="5"/>
      <c r="E763" s="5"/>
      <c r="F763" s="5"/>
      <c r="G763" s="5"/>
      <c r="H763" s="5"/>
      <c r="M763" s="5"/>
      <c r="N763" s="5"/>
      <c r="P763" s="5"/>
    </row>
    <row r="764" spans="2:16" ht="14.25" customHeight="1">
      <c r="B764" s="5"/>
      <c r="C764" s="5"/>
      <c r="D764" s="5"/>
      <c r="E764" s="5"/>
      <c r="F764" s="5"/>
      <c r="G764" s="5"/>
      <c r="H764" s="5"/>
      <c r="M764" s="5"/>
      <c r="N764" s="5"/>
      <c r="P764" s="5"/>
    </row>
    <row r="765" spans="2:16" ht="14.25" customHeight="1">
      <c r="B765" s="5"/>
      <c r="C765" s="5"/>
      <c r="D765" s="5"/>
      <c r="E765" s="5"/>
      <c r="F765" s="5"/>
      <c r="G765" s="5"/>
      <c r="H765" s="5"/>
      <c r="M765" s="5"/>
      <c r="N765" s="5"/>
      <c r="P765" s="5"/>
    </row>
    <row r="766" spans="2:16" ht="14.25" customHeight="1">
      <c r="B766" s="5"/>
      <c r="C766" s="5"/>
      <c r="D766" s="5"/>
      <c r="E766" s="5"/>
      <c r="F766" s="5"/>
      <c r="G766" s="5"/>
      <c r="H766" s="5"/>
      <c r="M766" s="5"/>
      <c r="N766" s="5"/>
      <c r="P766" s="5"/>
    </row>
    <row r="767" spans="2:16" ht="14.25" customHeight="1">
      <c r="B767" s="5"/>
      <c r="C767" s="5"/>
      <c r="D767" s="5"/>
      <c r="E767" s="5"/>
      <c r="F767" s="5"/>
      <c r="G767" s="5"/>
      <c r="H767" s="5"/>
      <c r="M767" s="5"/>
      <c r="N767" s="5"/>
      <c r="P767" s="5"/>
    </row>
    <row r="768" spans="2:16" ht="14.25" customHeight="1">
      <c r="B768" s="5"/>
      <c r="C768" s="5"/>
      <c r="D768" s="5"/>
      <c r="E768" s="5"/>
      <c r="F768" s="5"/>
      <c r="G768" s="5"/>
      <c r="H768" s="5"/>
      <c r="M768" s="5"/>
      <c r="N768" s="5"/>
      <c r="P768" s="5"/>
    </row>
    <row r="769" spans="2:16" ht="14.25" customHeight="1">
      <c r="B769" s="5"/>
      <c r="C769" s="5"/>
      <c r="D769" s="5"/>
      <c r="E769" s="5"/>
      <c r="F769" s="5"/>
      <c r="G769" s="5"/>
      <c r="H769" s="5"/>
      <c r="M769" s="5"/>
      <c r="N769" s="5"/>
      <c r="P769" s="5"/>
    </row>
    <row r="770" spans="2:16" ht="14.25" customHeight="1">
      <c r="B770" s="5"/>
      <c r="C770" s="5"/>
      <c r="D770" s="5"/>
      <c r="E770" s="5"/>
      <c r="F770" s="5"/>
      <c r="G770" s="5"/>
      <c r="H770" s="5"/>
      <c r="M770" s="5"/>
      <c r="N770" s="5"/>
      <c r="P770" s="5"/>
    </row>
    <row r="771" spans="2:16" ht="14.25" customHeight="1">
      <c r="B771" s="5"/>
      <c r="C771" s="5"/>
      <c r="D771" s="5"/>
      <c r="E771" s="5"/>
      <c r="F771" s="5"/>
      <c r="G771" s="5"/>
      <c r="H771" s="5"/>
      <c r="M771" s="5"/>
      <c r="N771" s="5"/>
      <c r="P771" s="5"/>
    </row>
    <row r="772" spans="2:16" ht="14.25" customHeight="1">
      <c r="B772" s="5"/>
      <c r="C772" s="5"/>
      <c r="D772" s="5"/>
      <c r="E772" s="5"/>
      <c r="F772" s="5"/>
      <c r="G772" s="5"/>
      <c r="H772" s="5"/>
      <c r="M772" s="5"/>
      <c r="N772" s="5"/>
      <c r="P772" s="5"/>
    </row>
    <row r="773" spans="2:16" ht="14.25" customHeight="1">
      <c r="B773" s="5"/>
      <c r="C773" s="5"/>
      <c r="D773" s="5"/>
      <c r="E773" s="5"/>
      <c r="F773" s="5"/>
      <c r="G773" s="5"/>
      <c r="H773" s="5"/>
      <c r="M773" s="5"/>
      <c r="N773" s="5"/>
      <c r="P773" s="5"/>
    </row>
    <row r="774" spans="2:16" ht="14.25" customHeight="1">
      <c r="B774" s="5"/>
      <c r="C774" s="5"/>
      <c r="D774" s="5"/>
      <c r="E774" s="5"/>
      <c r="F774" s="5"/>
      <c r="G774" s="5"/>
      <c r="H774" s="5"/>
      <c r="M774" s="5"/>
      <c r="N774" s="5"/>
      <c r="P774" s="5"/>
    </row>
    <row r="775" spans="2:16" ht="14.25" customHeight="1">
      <c r="B775" s="5"/>
      <c r="C775" s="5"/>
      <c r="D775" s="5"/>
      <c r="E775" s="5"/>
      <c r="F775" s="5"/>
      <c r="G775" s="5"/>
      <c r="H775" s="5"/>
      <c r="M775" s="5"/>
      <c r="N775" s="5"/>
      <c r="P775" s="5"/>
    </row>
    <row r="776" spans="2:16" ht="14.25" customHeight="1">
      <c r="B776" s="5"/>
      <c r="C776" s="5"/>
      <c r="D776" s="5"/>
      <c r="E776" s="5"/>
      <c r="F776" s="5"/>
      <c r="G776" s="5"/>
      <c r="H776" s="5"/>
      <c r="M776" s="5"/>
      <c r="N776" s="5"/>
      <c r="P776" s="5"/>
    </row>
    <row r="777" spans="2:16" ht="14.25" customHeight="1">
      <c r="B777" s="5"/>
      <c r="C777" s="5"/>
      <c r="D777" s="5"/>
      <c r="E777" s="5"/>
      <c r="F777" s="5"/>
      <c r="G777" s="5"/>
      <c r="H777" s="5"/>
      <c r="M777" s="5"/>
      <c r="N777" s="5"/>
      <c r="P777" s="5"/>
    </row>
    <row r="778" spans="2:16" ht="14.25" customHeight="1">
      <c r="B778" s="5"/>
      <c r="C778" s="5"/>
      <c r="D778" s="5"/>
      <c r="E778" s="5"/>
      <c r="F778" s="5"/>
      <c r="G778" s="5"/>
      <c r="H778" s="5"/>
      <c r="M778" s="5"/>
      <c r="N778" s="5"/>
      <c r="P778" s="5"/>
    </row>
    <row r="779" spans="2:16" ht="14.25" customHeight="1">
      <c r="B779" s="5"/>
      <c r="C779" s="5"/>
      <c r="D779" s="5"/>
      <c r="E779" s="5"/>
      <c r="F779" s="5"/>
      <c r="G779" s="5"/>
      <c r="H779" s="5"/>
      <c r="M779" s="5"/>
      <c r="N779" s="5"/>
      <c r="P779" s="5"/>
    </row>
    <row r="780" spans="2:16" ht="14.25" customHeight="1">
      <c r="B780" s="5"/>
      <c r="C780" s="5"/>
      <c r="D780" s="5"/>
      <c r="E780" s="5"/>
      <c r="F780" s="5"/>
      <c r="G780" s="5"/>
      <c r="H780" s="5"/>
      <c r="M780" s="5"/>
      <c r="N780" s="5"/>
      <c r="P780" s="5"/>
    </row>
    <row r="781" spans="2:16" ht="14.25" customHeight="1">
      <c r="B781" s="5"/>
      <c r="C781" s="5"/>
      <c r="D781" s="5"/>
      <c r="E781" s="5"/>
      <c r="F781" s="5"/>
      <c r="G781" s="5"/>
      <c r="H781" s="5"/>
      <c r="M781" s="5"/>
      <c r="N781" s="5"/>
      <c r="P781" s="5"/>
    </row>
    <row r="782" spans="2:16" ht="14.25" customHeight="1">
      <c r="B782" s="5"/>
      <c r="C782" s="5"/>
      <c r="D782" s="5"/>
      <c r="E782" s="5"/>
      <c r="F782" s="5"/>
      <c r="G782" s="5"/>
      <c r="H782" s="5"/>
      <c r="M782" s="5"/>
      <c r="N782" s="5"/>
      <c r="P782" s="5"/>
    </row>
    <row r="783" spans="2:16" ht="14.25" customHeight="1">
      <c r="B783" s="5"/>
      <c r="C783" s="5"/>
      <c r="D783" s="5"/>
      <c r="E783" s="5"/>
      <c r="F783" s="5"/>
      <c r="G783" s="5"/>
      <c r="H783" s="5"/>
      <c r="M783" s="5"/>
      <c r="N783" s="5"/>
      <c r="P783" s="5"/>
    </row>
    <row r="784" spans="2:16" ht="14.25" customHeight="1">
      <c r="B784" s="5"/>
      <c r="C784" s="5"/>
      <c r="D784" s="5"/>
      <c r="E784" s="5"/>
      <c r="F784" s="5"/>
      <c r="G784" s="5"/>
      <c r="H784" s="5"/>
      <c r="M784" s="5"/>
      <c r="N784" s="5"/>
      <c r="P784" s="5"/>
    </row>
    <row r="785" spans="2:16" ht="14.25" customHeight="1">
      <c r="B785" s="5"/>
      <c r="C785" s="5"/>
      <c r="D785" s="5"/>
      <c r="E785" s="5"/>
      <c r="F785" s="5"/>
      <c r="G785" s="5"/>
      <c r="H785" s="5"/>
      <c r="M785" s="5"/>
      <c r="N785" s="5"/>
      <c r="P785" s="5"/>
    </row>
    <row r="786" spans="2:16" ht="14.25" customHeight="1">
      <c r="B786" s="5"/>
      <c r="C786" s="5"/>
      <c r="D786" s="5"/>
      <c r="E786" s="5"/>
      <c r="F786" s="5"/>
      <c r="G786" s="5"/>
      <c r="H786" s="5"/>
      <c r="M786" s="5"/>
      <c r="N786" s="5"/>
      <c r="P786" s="5"/>
    </row>
    <row r="787" spans="2:16" ht="14.25" customHeight="1">
      <c r="B787" s="5"/>
      <c r="C787" s="5"/>
      <c r="D787" s="5"/>
      <c r="E787" s="5"/>
      <c r="F787" s="5"/>
      <c r="G787" s="5"/>
      <c r="H787" s="5"/>
      <c r="M787" s="5"/>
      <c r="N787" s="5"/>
      <c r="P787" s="5"/>
    </row>
    <row r="788" spans="2:16" ht="14.25" customHeight="1">
      <c r="B788" s="5"/>
      <c r="C788" s="5"/>
      <c r="D788" s="5"/>
      <c r="E788" s="5"/>
      <c r="F788" s="5"/>
      <c r="G788" s="5"/>
      <c r="H788" s="5"/>
      <c r="M788" s="5"/>
      <c r="N788" s="5"/>
      <c r="P788" s="5"/>
    </row>
    <row r="789" spans="2:16" ht="14.25" customHeight="1">
      <c r="B789" s="5"/>
      <c r="C789" s="5"/>
      <c r="D789" s="5"/>
      <c r="E789" s="5"/>
      <c r="F789" s="5"/>
      <c r="G789" s="5"/>
      <c r="H789" s="5"/>
      <c r="M789" s="5"/>
      <c r="N789" s="5"/>
      <c r="P789" s="5"/>
    </row>
    <row r="790" spans="2:16" ht="14.25" customHeight="1">
      <c r="B790" s="5"/>
      <c r="C790" s="5"/>
      <c r="D790" s="5"/>
      <c r="E790" s="5"/>
      <c r="F790" s="5"/>
      <c r="G790" s="5"/>
      <c r="H790" s="5"/>
      <c r="M790" s="5"/>
      <c r="N790" s="5"/>
      <c r="P790" s="5"/>
    </row>
    <row r="791" spans="2:16" ht="14.25" customHeight="1">
      <c r="B791" s="5"/>
      <c r="C791" s="5"/>
      <c r="D791" s="5"/>
      <c r="E791" s="5"/>
      <c r="F791" s="5"/>
      <c r="G791" s="5"/>
      <c r="H791" s="5"/>
      <c r="M791" s="5"/>
      <c r="N791" s="5"/>
      <c r="P791" s="5"/>
    </row>
    <row r="792" spans="2:16" ht="14.25" customHeight="1">
      <c r="B792" s="5"/>
      <c r="C792" s="5"/>
      <c r="D792" s="5"/>
      <c r="E792" s="5"/>
      <c r="F792" s="5"/>
      <c r="G792" s="5"/>
      <c r="H792" s="5"/>
      <c r="M792" s="5"/>
      <c r="N792" s="5"/>
      <c r="P792" s="5"/>
    </row>
    <row r="793" spans="2:16" ht="14.25" customHeight="1">
      <c r="B793" s="5"/>
      <c r="C793" s="5"/>
      <c r="D793" s="5"/>
      <c r="E793" s="5"/>
      <c r="F793" s="5"/>
      <c r="G793" s="5"/>
      <c r="H793" s="5"/>
      <c r="M793" s="5"/>
      <c r="N793" s="5"/>
      <c r="P793" s="5"/>
    </row>
    <row r="794" spans="2:16" ht="14.25" customHeight="1">
      <c r="B794" s="5"/>
      <c r="C794" s="5"/>
      <c r="D794" s="5"/>
      <c r="E794" s="5"/>
      <c r="F794" s="5"/>
      <c r="G794" s="5"/>
      <c r="H794" s="5"/>
      <c r="M794" s="5"/>
      <c r="N794" s="5"/>
      <c r="P794" s="5"/>
    </row>
    <row r="795" spans="2:16" ht="14.25" customHeight="1">
      <c r="B795" s="5"/>
      <c r="C795" s="5"/>
      <c r="D795" s="5"/>
      <c r="E795" s="5"/>
      <c r="F795" s="5"/>
      <c r="G795" s="5"/>
      <c r="H795" s="5"/>
      <c r="M795" s="5"/>
      <c r="N795" s="5"/>
      <c r="P795" s="5"/>
    </row>
    <row r="796" spans="2:16" ht="14.25" customHeight="1">
      <c r="B796" s="5"/>
      <c r="C796" s="5"/>
      <c r="D796" s="5"/>
      <c r="E796" s="5"/>
      <c r="F796" s="5"/>
      <c r="G796" s="5"/>
      <c r="H796" s="5"/>
      <c r="M796" s="5"/>
      <c r="N796" s="5"/>
      <c r="P796" s="5"/>
    </row>
    <row r="797" spans="2:16" ht="14.25" customHeight="1">
      <c r="B797" s="5"/>
      <c r="C797" s="5"/>
      <c r="D797" s="5"/>
      <c r="E797" s="5"/>
      <c r="F797" s="5"/>
      <c r="G797" s="5"/>
      <c r="H797" s="5"/>
      <c r="M797" s="5"/>
      <c r="N797" s="5"/>
      <c r="P797" s="5"/>
    </row>
    <row r="798" spans="2:16" ht="14.25" customHeight="1">
      <c r="B798" s="5"/>
      <c r="C798" s="5"/>
      <c r="D798" s="5"/>
      <c r="E798" s="5"/>
      <c r="F798" s="5"/>
      <c r="G798" s="5"/>
      <c r="H798" s="5"/>
      <c r="M798" s="5"/>
      <c r="N798" s="5"/>
      <c r="P798" s="5"/>
    </row>
    <row r="799" spans="2:16" ht="14.25" customHeight="1">
      <c r="B799" s="5"/>
      <c r="C799" s="5"/>
      <c r="D799" s="5"/>
      <c r="E799" s="5"/>
      <c r="F799" s="5"/>
      <c r="G799" s="5"/>
      <c r="H799" s="5"/>
      <c r="M799" s="5"/>
      <c r="N799" s="5"/>
      <c r="P799" s="5"/>
    </row>
    <row r="800" spans="2:16" ht="14.25" customHeight="1">
      <c r="B800" s="5"/>
      <c r="C800" s="5"/>
      <c r="D800" s="5"/>
      <c r="E800" s="5"/>
      <c r="F800" s="5"/>
      <c r="G800" s="5"/>
      <c r="H800" s="5"/>
      <c r="M800" s="5"/>
      <c r="N800" s="5"/>
      <c r="P800" s="5"/>
    </row>
    <row r="801" spans="2:16" ht="14.25" customHeight="1">
      <c r="B801" s="5"/>
      <c r="C801" s="5"/>
      <c r="D801" s="5"/>
      <c r="E801" s="5"/>
      <c r="F801" s="5"/>
      <c r="G801" s="5"/>
      <c r="H801" s="5"/>
      <c r="M801" s="5"/>
      <c r="N801" s="5"/>
      <c r="P801" s="5"/>
    </row>
    <row r="802" spans="2:16" ht="14.25" customHeight="1">
      <c r="B802" s="5"/>
      <c r="C802" s="5"/>
      <c r="D802" s="5"/>
      <c r="E802" s="5"/>
      <c r="F802" s="5"/>
      <c r="G802" s="5"/>
      <c r="H802" s="5"/>
      <c r="M802" s="5"/>
      <c r="N802" s="5"/>
      <c r="P802" s="5"/>
    </row>
    <row r="803" spans="2:16" ht="14.25" customHeight="1">
      <c r="B803" s="5"/>
      <c r="C803" s="5"/>
      <c r="D803" s="5"/>
      <c r="E803" s="5"/>
      <c r="F803" s="5"/>
      <c r="G803" s="5"/>
      <c r="H803" s="5"/>
      <c r="M803" s="5"/>
      <c r="N803" s="5"/>
      <c r="P803" s="5"/>
    </row>
    <row r="804" spans="2:16" ht="14.25" customHeight="1">
      <c r="B804" s="5"/>
      <c r="C804" s="5"/>
      <c r="D804" s="5"/>
      <c r="E804" s="5"/>
      <c r="F804" s="5"/>
      <c r="G804" s="5"/>
      <c r="H804" s="5"/>
      <c r="M804" s="5"/>
      <c r="N804" s="5"/>
      <c r="P804" s="5"/>
    </row>
    <row r="805" spans="2:16" ht="14.25" customHeight="1">
      <c r="B805" s="5"/>
      <c r="C805" s="5"/>
      <c r="D805" s="5"/>
      <c r="E805" s="5"/>
      <c r="F805" s="5"/>
      <c r="G805" s="5"/>
      <c r="H805" s="5"/>
      <c r="M805" s="5"/>
      <c r="N805" s="5"/>
      <c r="P805" s="5"/>
    </row>
    <row r="806" spans="2:16" ht="14.25" customHeight="1">
      <c r="B806" s="5"/>
      <c r="C806" s="5"/>
      <c r="D806" s="5"/>
      <c r="E806" s="5"/>
      <c r="F806" s="5"/>
      <c r="G806" s="5"/>
      <c r="H806" s="5"/>
      <c r="M806" s="5"/>
      <c r="N806" s="5"/>
      <c r="P806" s="5"/>
    </row>
    <row r="807" spans="2:16" ht="14.25" customHeight="1">
      <c r="B807" s="5"/>
      <c r="C807" s="5"/>
      <c r="D807" s="5"/>
      <c r="E807" s="5"/>
      <c r="F807" s="5"/>
      <c r="G807" s="5"/>
      <c r="H807" s="5"/>
      <c r="M807" s="5"/>
      <c r="N807" s="5"/>
      <c r="P807" s="5"/>
    </row>
    <row r="808" spans="2:16" ht="14.25" customHeight="1">
      <c r="B808" s="5"/>
      <c r="C808" s="5"/>
      <c r="D808" s="5"/>
      <c r="E808" s="5"/>
      <c r="F808" s="5"/>
      <c r="G808" s="5"/>
      <c r="H808" s="5"/>
      <c r="M808" s="5"/>
      <c r="N808" s="5"/>
      <c r="P808" s="5"/>
    </row>
    <row r="809" spans="2:16" ht="14.25" customHeight="1">
      <c r="B809" s="5"/>
      <c r="C809" s="5"/>
      <c r="D809" s="5"/>
      <c r="E809" s="5"/>
      <c r="F809" s="5"/>
      <c r="G809" s="5"/>
      <c r="H809" s="5"/>
      <c r="M809" s="5"/>
      <c r="N809" s="5"/>
      <c r="P809" s="5"/>
    </row>
    <row r="810" spans="2:16" ht="14.25" customHeight="1">
      <c r="B810" s="5"/>
      <c r="C810" s="5"/>
      <c r="D810" s="5"/>
      <c r="E810" s="5"/>
      <c r="F810" s="5"/>
      <c r="G810" s="5"/>
      <c r="H810" s="5"/>
      <c r="M810" s="5"/>
      <c r="N810" s="5"/>
      <c r="P810" s="5"/>
    </row>
    <row r="811" spans="2:16" ht="14.25" customHeight="1">
      <c r="B811" s="5"/>
      <c r="C811" s="5"/>
      <c r="D811" s="5"/>
      <c r="E811" s="5"/>
      <c r="F811" s="5"/>
      <c r="G811" s="5"/>
      <c r="H811" s="5"/>
      <c r="M811" s="5"/>
      <c r="N811" s="5"/>
      <c r="P811" s="5"/>
    </row>
    <row r="812" spans="2:16" ht="14.25" customHeight="1">
      <c r="B812" s="5"/>
      <c r="C812" s="5"/>
      <c r="D812" s="5"/>
      <c r="E812" s="5"/>
      <c r="F812" s="5"/>
      <c r="G812" s="5"/>
      <c r="H812" s="5"/>
      <c r="M812" s="5"/>
      <c r="N812" s="5"/>
      <c r="P812" s="5"/>
    </row>
    <row r="813" spans="2:16" ht="14.25" customHeight="1">
      <c r="B813" s="5"/>
      <c r="C813" s="5"/>
      <c r="D813" s="5"/>
      <c r="E813" s="5"/>
      <c r="F813" s="5"/>
      <c r="G813" s="5"/>
      <c r="H813" s="5"/>
      <c r="M813" s="5"/>
      <c r="N813" s="5"/>
      <c r="P813" s="5"/>
    </row>
    <row r="814" spans="2:16" ht="14.25" customHeight="1">
      <c r="B814" s="5"/>
      <c r="C814" s="5"/>
      <c r="D814" s="5"/>
      <c r="E814" s="5"/>
      <c r="F814" s="5"/>
      <c r="G814" s="5"/>
      <c r="H814" s="5"/>
      <c r="M814" s="5"/>
      <c r="N814" s="5"/>
      <c r="P814" s="5"/>
    </row>
    <row r="815" spans="2:16" ht="14.25" customHeight="1">
      <c r="B815" s="5"/>
      <c r="C815" s="5"/>
      <c r="D815" s="5"/>
      <c r="E815" s="5"/>
      <c r="F815" s="5"/>
      <c r="G815" s="5"/>
      <c r="H815" s="5"/>
      <c r="M815" s="5"/>
      <c r="N815" s="5"/>
      <c r="P815" s="5"/>
    </row>
    <row r="816" spans="2:16" ht="14.25" customHeight="1">
      <c r="B816" s="5"/>
      <c r="C816" s="5"/>
      <c r="D816" s="5"/>
      <c r="E816" s="5"/>
      <c r="F816" s="5"/>
      <c r="G816" s="5"/>
      <c r="H816" s="5"/>
      <c r="M816" s="5"/>
      <c r="N816" s="5"/>
      <c r="P816" s="5"/>
    </row>
    <row r="817" spans="2:16" ht="14.25" customHeight="1">
      <c r="B817" s="5"/>
      <c r="C817" s="5"/>
      <c r="D817" s="5"/>
      <c r="E817" s="5"/>
      <c r="F817" s="5"/>
      <c r="G817" s="5"/>
      <c r="H817" s="5"/>
      <c r="M817" s="5"/>
      <c r="N817" s="5"/>
      <c r="P817" s="5"/>
    </row>
    <row r="818" spans="2:16" ht="14.25" customHeight="1">
      <c r="B818" s="5"/>
      <c r="C818" s="5"/>
      <c r="D818" s="5"/>
      <c r="E818" s="5"/>
      <c r="F818" s="5"/>
      <c r="G818" s="5"/>
      <c r="H818" s="5"/>
      <c r="M818" s="5"/>
      <c r="N818" s="5"/>
      <c r="P818" s="5"/>
    </row>
    <row r="819" spans="2:16" ht="14.25" customHeight="1">
      <c r="B819" s="5"/>
      <c r="C819" s="5"/>
      <c r="D819" s="5"/>
      <c r="E819" s="5"/>
      <c r="F819" s="5"/>
      <c r="G819" s="5"/>
      <c r="H819" s="5"/>
      <c r="M819" s="5"/>
      <c r="N819" s="5"/>
      <c r="P819" s="5"/>
    </row>
    <row r="820" spans="2:16" ht="14.25" customHeight="1">
      <c r="B820" s="5"/>
      <c r="C820" s="5"/>
      <c r="D820" s="5"/>
      <c r="E820" s="5"/>
      <c r="F820" s="5"/>
      <c r="G820" s="5"/>
      <c r="H820" s="5"/>
      <c r="M820" s="5"/>
      <c r="N820" s="5"/>
      <c r="P820" s="5"/>
    </row>
    <row r="821" spans="2:16" ht="14.25" customHeight="1">
      <c r="B821" s="5"/>
      <c r="C821" s="5"/>
      <c r="D821" s="5"/>
      <c r="E821" s="5"/>
      <c r="F821" s="5"/>
      <c r="G821" s="5"/>
      <c r="H821" s="5"/>
      <c r="M821" s="5"/>
      <c r="N821" s="5"/>
      <c r="P821" s="5"/>
    </row>
    <row r="822" spans="2:16" ht="14.25" customHeight="1">
      <c r="B822" s="5"/>
      <c r="C822" s="5"/>
      <c r="D822" s="5"/>
      <c r="E822" s="5"/>
      <c r="F822" s="5"/>
      <c r="G822" s="5"/>
      <c r="H822" s="5"/>
      <c r="M822" s="5"/>
      <c r="N822" s="5"/>
      <c r="P822" s="5"/>
    </row>
    <row r="823" spans="2:16" ht="14.25" customHeight="1">
      <c r="B823" s="5"/>
      <c r="C823" s="5"/>
      <c r="D823" s="5"/>
      <c r="E823" s="5"/>
      <c r="F823" s="5"/>
      <c r="G823" s="5"/>
      <c r="H823" s="5"/>
      <c r="M823" s="5"/>
      <c r="N823" s="5"/>
      <c r="P823" s="5"/>
    </row>
    <row r="824" spans="2:16" ht="14.25" customHeight="1">
      <c r="B824" s="5"/>
      <c r="C824" s="5"/>
      <c r="D824" s="5"/>
      <c r="E824" s="5"/>
      <c r="F824" s="5"/>
      <c r="G824" s="5"/>
      <c r="H824" s="5"/>
      <c r="M824" s="5"/>
      <c r="N824" s="5"/>
      <c r="P824" s="5"/>
    </row>
    <row r="825" spans="2:16" ht="14.25" customHeight="1">
      <c r="B825" s="5"/>
      <c r="C825" s="5"/>
      <c r="D825" s="5"/>
      <c r="E825" s="5"/>
      <c r="F825" s="5"/>
      <c r="G825" s="5"/>
      <c r="H825" s="5"/>
      <c r="M825" s="5"/>
      <c r="N825" s="5"/>
      <c r="P825" s="5"/>
    </row>
    <row r="826" spans="2:16" ht="14.25" customHeight="1">
      <c r="B826" s="5"/>
      <c r="C826" s="5"/>
      <c r="D826" s="5"/>
      <c r="E826" s="5"/>
      <c r="F826" s="5"/>
      <c r="G826" s="5"/>
      <c r="H826" s="5"/>
      <c r="M826" s="5"/>
      <c r="N826" s="5"/>
      <c r="P826" s="5"/>
    </row>
    <row r="827" spans="2:16" ht="14.25" customHeight="1">
      <c r="B827" s="5"/>
      <c r="C827" s="5"/>
      <c r="D827" s="5"/>
      <c r="E827" s="5"/>
      <c r="F827" s="5"/>
      <c r="G827" s="5"/>
      <c r="H827" s="5"/>
      <c r="M827" s="5"/>
      <c r="N827" s="5"/>
      <c r="P827" s="5"/>
    </row>
    <row r="828" spans="2:16" ht="14.25" customHeight="1">
      <c r="B828" s="5"/>
      <c r="C828" s="5"/>
      <c r="D828" s="5"/>
      <c r="E828" s="5"/>
      <c r="F828" s="5"/>
      <c r="G828" s="5"/>
      <c r="H828" s="5"/>
      <c r="M828" s="5"/>
      <c r="N828" s="5"/>
      <c r="P828" s="5"/>
    </row>
    <row r="829" spans="2:16" ht="14.25" customHeight="1">
      <c r="B829" s="5"/>
      <c r="C829" s="5"/>
      <c r="D829" s="5"/>
      <c r="E829" s="5"/>
      <c r="F829" s="5"/>
      <c r="G829" s="5"/>
      <c r="H829" s="5"/>
      <c r="M829" s="5"/>
      <c r="N829" s="5"/>
      <c r="P829" s="5"/>
    </row>
    <row r="830" spans="2:16" ht="14.25" customHeight="1">
      <c r="B830" s="5"/>
      <c r="C830" s="5"/>
      <c r="D830" s="5"/>
      <c r="E830" s="5"/>
      <c r="F830" s="5"/>
      <c r="G830" s="5"/>
      <c r="H830" s="5"/>
      <c r="M830" s="5"/>
      <c r="N830" s="5"/>
      <c r="P830" s="5"/>
    </row>
    <row r="831" spans="2:16" ht="14.25" customHeight="1">
      <c r="B831" s="5"/>
      <c r="C831" s="5"/>
      <c r="D831" s="5"/>
      <c r="E831" s="5"/>
      <c r="F831" s="5"/>
      <c r="G831" s="5"/>
      <c r="H831" s="5"/>
      <c r="M831" s="5"/>
      <c r="N831" s="5"/>
      <c r="P831" s="5"/>
    </row>
    <row r="832" spans="2:16" ht="14.25" customHeight="1">
      <c r="B832" s="5"/>
      <c r="C832" s="5"/>
      <c r="D832" s="5"/>
      <c r="E832" s="5"/>
      <c r="F832" s="5"/>
      <c r="G832" s="5"/>
      <c r="H832" s="5"/>
      <c r="M832" s="5"/>
      <c r="N832" s="5"/>
      <c r="P832" s="5"/>
    </row>
    <row r="833" spans="2:16" ht="14.25" customHeight="1">
      <c r="B833" s="5"/>
      <c r="C833" s="5"/>
      <c r="D833" s="5"/>
      <c r="E833" s="5"/>
      <c r="F833" s="5"/>
      <c r="G833" s="5"/>
      <c r="H833" s="5"/>
      <c r="M833" s="5"/>
      <c r="N833" s="5"/>
      <c r="P833" s="5"/>
    </row>
    <row r="834" spans="2:16" ht="14.25" customHeight="1">
      <c r="B834" s="5"/>
      <c r="C834" s="5"/>
      <c r="D834" s="5"/>
      <c r="E834" s="5"/>
      <c r="F834" s="5"/>
      <c r="G834" s="5"/>
      <c r="H834" s="5"/>
      <c r="M834" s="5"/>
      <c r="N834" s="5"/>
      <c r="P834" s="5"/>
    </row>
    <row r="835" spans="2:16" ht="14.25" customHeight="1">
      <c r="B835" s="5"/>
      <c r="C835" s="5"/>
      <c r="D835" s="5"/>
      <c r="E835" s="5"/>
      <c r="F835" s="5"/>
      <c r="G835" s="5"/>
      <c r="H835" s="5"/>
      <c r="M835" s="5"/>
      <c r="N835" s="5"/>
      <c r="P835" s="5"/>
    </row>
    <row r="836" spans="2:16" ht="14.25" customHeight="1">
      <c r="B836" s="5"/>
      <c r="C836" s="5"/>
      <c r="D836" s="5"/>
      <c r="E836" s="5"/>
      <c r="F836" s="5"/>
      <c r="G836" s="5"/>
      <c r="H836" s="5"/>
      <c r="M836" s="5"/>
      <c r="N836" s="5"/>
      <c r="P836" s="5"/>
    </row>
    <row r="837" spans="2:16" ht="14.25" customHeight="1">
      <c r="B837" s="5"/>
      <c r="C837" s="5"/>
      <c r="D837" s="5"/>
      <c r="E837" s="5"/>
      <c r="F837" s="5"/>
      <c r="G837" s="5"/>
      <c r="H837" s="5"/>
      <c r="M837" s="5"/>
      <c r="N837" s="5"/>
      <c r="P837" s="5"/>
    </row>
    <row r="838" spans="2:16" ht="14.25" customHeight="1">
      <c r="B838" s="5"/>
      <c r="C838" s="5"/>
      <c r="D838" s="5"/>
      <c r="E838" s="5"/>
      <c r="F838" s="5"/>
      <c r="G838" s="5"/>
      <c r="H838" s="5"/>
      <c r="M838" s="5"/>
      <c r="N838" s="5"/>
      <c r="P838" s="5"/>
    </row>
    <row r="839" spans="2:16" ht="14.25" customHeight="1">
      <c r="B839" s="5"/>
      <c r="C839" s="5"/>
      <c r="D839" s="5"/>
      <c r="E839" s="5"/>
      <c r="F839" s="5"/>
      <c r="G839" s="5"/>
      <c r="H839" s="5"/>
      <c r="M839" s="5"/>
      <c r="N839" s="5"/>
      <c r="P839" s="5"/>
    </row>
    <row r="840" spans="2:16" ht="14.25" customHeight="1">
      <c r="B840" s="5"/>
      <c r="C840" s="5"/>
      <c r="D840" s="5"/>
      <c r="E840" s="5"/>
      <c r="F840" s="5"/>
      <c r="G840" s="5"/>
      <c r="H840" s="5"/>
      <c r="M840" s="5"/>
      <c r="N840" s="5"/>
      <c r="P840" s="5"/>
    </row>
    <row r="841" spans="2:16" ht="14.25" customHeight="1">
      <c r="B841" s="5"/>
      <c r="C841" s="5"/>
      <c r="D841" s="5"/>
      <c r="E841" s="5"/>
      <c r="F841" s="5"/>
      <c r="G841" s="5"/>
      <c r="H841" s="5"/>
      <c r="M841" s="5"/>
      <c r="N841" s="5"/>
      <c r="P841" s="5"/>
    </row>
    <row r="842" spans="2:16" ht="14.25" customHeight="1">
      <c r="B842" s="5"/>
      <c r="C842" s="5"/>
      <c r="D842" s="5"/>
      <c r="E842" s="5"/>
      <c r="F842" s="5"/>
      <c r="G842" s="5"/>
      <c r="H842" s="5"/>
      <c r="M842" s="5"/>
      <c r="N842" s="5"/>
      <c r="P842" s="5"/>
    </row>
    <row r="843" spans="2:16" ht="14.25" customHeight="1">
      <c r="B843" s="5"/>
      <c r="C843" s="5"/>
      <c r="D843" s="5"/>
      <c r="E843" s="5"/>
      <c r="F843" s="5"/>
      <c r="G843" s="5"/>
      <c r="H843" s="5"/>
      <c r="M843" s="5"/>
      <c r="N843" s="5"/>
      <c r="P843" s="5"/>
    </row>
    <row r="844" spans="2:16" ht="14.25" customHeight="1">
      <c r="B844" s="5"/>
      <c r="C844" s="5"/>
      <c r="D844" s="5"/>
      <c r="E844" s="5"/>
      <c r="F844" s="5"/>
      <c r="G844" s="5"/>
      <c r="H844" s="5"/>
      <c r="M844" s="5"/>
      <c r="N844" s="5"/>
      <c r="P844" s="5"/>
    </row>
    <row r="845" spans="2:16" ht="14.25" customHeight="1">
      <c r="B845" s="5"/>
      <c r="C845" s="5"/>
      <c r="D845" s="5"/>
      <c r="E845" s="5"/>
      <c r="F845" s="5"/>
      <c r="G845" s="5"/>
      <c r="H845" s="5"/>
      <c r="M845" s="5"/>
      <c r="N845" s="5"/>
      <c r="P845" s="5"/>
    </row>
    <row r="846" spans="2:16" ht="14.25" customHeight="1">
      <c r="B846" s="5"/>
      <c r="C846" s="5"/>
      <c r="D846" s="5"/>
      <c r="E846" s="5"/>
      <c r="F846" s="5"/>
      <c r="G846" s="5"/>
      <c r="H846" s="5"/>
      <c r="M846" s="5"/>
      <c r="N846" s="5"/>
      <c r="P846" s="5"/>
    </row>
    <row r="847" spans="2:16" ht="14.25" customHeight="1">
      <c r="B847" s="5"/>
      <c r="C847" s="5"/>
      <c r="D847" s="5"/>
      <c r="E847" s="5"/>
      <c r="F847" s="5"/>
      <c r="G847" s="5"/>
      <c r="H847" s="5"/>
      <c r="M847" s="5"/>
      <c r="N847" s="5"/>
      <c r="P847" s="5"/>
    </row>
    <row r="848" spans="2:16" ht="14.25" customHeight="1">
      <c r="B848" s="5"/>
      <c r="C848" s="5"/>
      <c r="D848" s="5"/>
      <c r="E848" s="5"/>
      <c r="F848" s="5"/>
      <c r="G848" s="5"/>
      <c r="H848" s="5"/>
      <c r="M848" s="5"/>
      <c r="N848" s="5"/>
      <c r="P848" s="5"/>
    </row>
    <row r="849" spans="2:16" ht="14.25" customHeight="1">
      <c r="B849" s="5"/>
      <c r="C849" s="5"/>
      <c r="D849" s="5"/>
      <c r="E849" s="5"/>
      <c r="F849" s="5"/>
      <c r="G849" s="5"/>
      <c r="H849" s="5"/>
      <c r="M849" s="5"/>
      <c r="N849" s="5"/>
      <c r="P849" s="5"/>
    </row>
    <row r="850" spans="2:16" ht="14.25" customHeight="1">
      <c r="B850" s="5"/>
      <c r="C850" s="5"/>
      <c r="D850" s="5"/>
      <c r="E850" s="5"/>
      <c r="F850" s="5"/>
      <c r="G850" s="5"/>
      <c r="H850" s="5"/>
      <c r="M850" s="5"/>
      <c r="N850" s="5"/>
      <c r="P850" s="5"/>
    </row>
    <row r="851" spans="2:16" ht="14.25" customHeight="1">
      <c r="B851" s="5"/>
      <c r="C851" s="5"/>
      <c r="D851" s="5"/>
      <c r="E851" s="5"/>
      <c r="F851" s="5"/>
      <c r="G851" s="5"/>
      <c r="H851" s="5"/>
      <c r="M851" s="5"/>
      <c r="N851" s="5"/>
      <c r="P851" s="5"/>
    </row>
    <row r="852" spans="2:16" ht="14.25" customHeight="1">
      <c r="B852" s="5"/>
      <c r="C852" s="5"/>
      <c r="D852" s="5"/>
      <c r="E852" s="5"/>
      <c r="F852" s="5"/>
      <c r="G852" s="5"/>
      <c r="H852" s="5"/>
      <c r="M852" s="5"/>
      <c r="N852" s="5"/>
      <c r="P852" s="5"/>
    </row>
    <row r="853" spans="2:16" ht="14.25" customHeight="1">
      <c r="B853" s="5"/>
      <c r="C853" s="5"/>
      <c r="D853" s="5"/>
      <c r="E853" s="5"/>
      <c r="F853" s="5"/>
      <c r="G853" s="5"/>
      <c r="H853" s="5"/>
      <c r="M853" s="5"/>
      <c r="N853" s="5"/>
      <c r="P853" s="5"/>
    </row>
    <row r="854" spans="2:16" ht="14.25" customHeight="1">
      <c r="B854" s="5"/>
      <c r="C854" s="5"/>
      <c r="D854" s="5"/>
      <c r="E854" s="5"/>
      <c r="F854" s="5"/>
      <c r="G854" s="5"/>
      <c r="H854" s="5"/>
      <c r="M854" s="5"/>
      <c r="N854" s="5"/>
      <c r="P854" s="5"/>
    </row>
    <row r="855" spans="2:16" ht="14.25" customHeight="1">
      <c r="B855" s="5"/>
      <c r="C855" s="5"/>
      <c r="D855" s="5"/>
      <c r="E855" s="5"/>
      <c r="F855" s="5"/>
      <c r="G855" s="5"/>
      <c r="H855" s="5"/>
      <c r="M855" s="5"/>
      <c r="N855" s="5"/>
      <c r="P855" s="5"/>
    </row>
    <row r="856" spans="2:16" ht="14.25" customHeight="1">
      <c r="B856" s="5"/>
      <c r="C856" s="5"/>
      <c r="D856" s="5"/>
      <c r="E856" s="5"/>
      <c r="F856" s="5"/>
      <c r="G856" s="5"/>
      <c r="H856" s="5"/>
      <c r="M856" s="5"/>
      <c r="N856" s="5"/>
      <c r="P856" s="5"/>
    </row>
    <row r="857" spans="2:16" ht="14.25" customHeight="1">
      <c r="B857" s="5"/>
      <c r="C857" s="5"/>
      <c r="D857" s="5"/>
      <c r="E857" s="5"/>
      <c r="F857" s="5"/>
      <c r="G857" s="5"/>
      <c r="H857" s="5"/>
      <c r="M857" s="5"/>
      <c r="N857" s="5"/>
      <c r="P857" s="5"/>
    </row>
    <row r="858" spans="2:16" ht="14.25" customHeight="1">
      <c r="B858" s="5"/>
      <c r="C858" s="5"/>
      <c r="D858" s="5"/>
      <c r="E858" s="5"/>
      <c r="F858" s="5"/>
      <c r="G858" s="5"/>
      <c r="H858" s="5"/>
      <c r="M858" s="5"/>
      <c r="N858" s="5"/>
      <c r="P858" s="5"/>
    </row>
    <row r="859" spans="2:16" ht="14.25" customHeight="1">
      <c r="B859" s="5"/>
      <c r="C859" s="5"/>
      <c r="D859" s="5"/>
      <c r="E859" s="5"/>
      <c r="F859" s="5"/>
      <c r="G859" s="5"/>
      <c r="H859" s="5"/>
      <c r="M859" s="5"/>
      <c r="N859" s="5"/>
      <c r="P859" s="5"/>
    </row>
    <row r="860" spans="2:16" ht="14.25" customHeight="1">
      <c r="B860" s="5"/>
      <c r="C860" s="5"/>
      <c r="D860" s="5"/>
      <c r="E860" s="5"/>
      <c r="F860" s="5"/>
      <c r="G860" s="5"/>
      <c r="H860" s="5"/>
      <c r="M860" s="5"/>
      <c r="N860" s="5"/>
      <c r="P860" s="5"/>
    </row>
    <row r="861" spans="2:16" ht="14.25" customHeight="1">
      <c r="B861" s="5"/>
      <c r="C861" s="5"/>
      <c r="D861" s="5"/>
      <c r="E861" s="5"/>
      <c r="F861" s="5"/>
      <c r="G861" s="5"/>
      <c r="H861" s="5"/>
      <c r="M861" s="5"/>
      <c r="N861" s="5"/>
      <c r="P861" s="5"/>
    </row>
    <row r="862" spans="2:16" ht="14.25" customHeight="1">
      <c r="B862" s="5"/>
      <c r="C862" s="5"/>
      <c r="D862" s="5"/>
      <c r="E862" s="5"/>
      <c r="F862" s="5"/>
      <c r="G862" s="5"/>
      <c r="H862" s="5"/>
      <c r="M862" s="5"/>
      <c r="N862" s="5"/>
      <c r="P862" s="5"/>
    </row>
    <row r="863" spans="2:16" ht="14.25" customHeight="1">
      <c r="B863" s="5"/>
      <c r="C863" s="5"/>
      <c r="D863" s="5"/>
      <c r="E863" s="5"/>
      <c r="F863" s="5"/>
      <c r="G863" s="5"/>
      <c r="H863" s="5"/>
      <c r="M863" s="5"/>
      <c r="N863" s="5"/>
      <c r="P863" s="5"/>
    </row>
    <row r="864" spans="2:16" ht="14.25" customHeight="1">
      <c r="B864" s="5"/>
      <c r="C864" s="5"/>
      <c r="D864" s="5"/>
      <c r="E864" s="5"/>
      <c r="F864" s="5"/>
      <c r="G864" s="5"/>
      <c r="H864" s="5"/>
      <c r="M864" s="5"/>
      <c r="N864" s="5"/>
      <c r="P864" s="5"/>
    </row>
    <row r="865" spans="2:16" ht="14.25" customHeight="1">
      <c r="B865" s="5"/>
      <c r="C865" s="5"/>
      <c r="D865" s="5"/>
      <c r="E865" s="5"/>
      <c r="F865" s="5"/>
      <c r="G865" s="5"/>
      <c r="H865" s="5"/>
      <c r="M865" s="5"/>
      <c r="N865" s="5"/>
      <c r="P865" s="5"/>
    </row>
    <row r="866" spans="2:16" ht="14.25" customHeight="1">
      <c r="B866" s="5"/>
      <c r="C866" s="5"/>
      <c r="D866" s="5"/>
      <c r="E866" s="5"/>
      <c r="F866" s="5"/>
      <c r="G866" s="5"/>
      <c r="H866" s="5"/>
      <c r="M866" s="5"/>
      <c r="N866" s="5"/>
      <c r="P866" s="5"/>
    </row>
    <row r="867" spans="2:16" ht="14.25" customHeight="1">
      <c r="B867" s="5"/>
      <c r="C867" s="5"/>
      <c r="D867" s="5"/>
      <c r="E867" s="5"/>
      <c r="F867" s="5"/>
      <c r="G867" s="5"/>
      <c r="H867" s="5"/>
      <c r="M867" s="5"/>
      <c r="N867" s="5"/>
      <c r="P867" s="5"/>
    </row>
    <row r="868" spans="2:16" ht="14.25" customHeight="1">
      <c r="B868" s="5"/>
      <c r="C868" s="5"/>
      <c r="D868" s="5"/>
      <c r="E868" s="5"/>
      <c r="F868" s="5"/>
      <c r="G868" s="5"/>
      <c r="H868" s="5"/>
      <c r="M868" s="5"/>
      <c r="N868" s="5"/>
      <c r="P868" s="5"/>
    </row>
    <row r="869" spans="2:16" ht="14.25" customHeight="1">
      <c r="B869" s="5"/>
      <c r="C869" s="5"/>
      <c r="D869" s="5"/>
      <c r="E869" s="5"/>
      <c r="F869" s="5"/>
      <c r="G869" s="5"/>
      <c r="H869" s="5"/>
      <c r="M869" s="5"/>
      <c r="N869" s="5"/>
      <c r="P869" s="5"/>
    </row>
    <row r="870" spans="2:16" ht="14.25" customHeight="1">
      <c r="B870" s="5"/>
      <c r="C870" s="5"/>
      <c r="D870" s="5"/>
      <c r="E870" s="5"/>
      <c r="F870" s="5"/>
      <c r="G870" s="5"/>
      <c r="H870" s="5"/>
      <c r="M870" s="5"/>
      <c r="N870" s="5"/>
      <c r="P870" s="5"/>
    </row>
    <row r="871" spans="2:16" ht="14.25" customHeight="1">
      <c r="B871" s="5"/>
      <c r="C871" s="5"/>
      <c r="D871" s="5"/>
      <c r="E871" s="5"/>
      <c r="F871" s="5"/>
      <c r="G871" s="5"/>
      <c r="H871" s="5"/>
      <c r="M871" s="5"/>
      <c r="N871" s="5"/>
      <c r="P871" s="5"/>
    </row>
    <row r="872" spans="2:16" ht="14.25" customHeight="1">
      <c r="B872" s="5"/>
      <c r="C872" s="5"/>
      <c r="D872" s="5"/>
      <c r="E872" s="5"/>
      <c r="F872" s="5"/>
      <c r="G872" s="5"/>
      <c r="H872" s="5"/>
      <c r="M872" s="5"/>
      <c r="N872" s="5"/>
      <c r="P872" s="5"/>
    </row>
    <row r="873" spans="2:16" ht="14.25" customHeight="1">
      <c r="B873" s="5"/>
      <c r="C873" s="5"/>
      <c r="D873" s="5"/>
      <c r="E873" s="5"/>
      <c r="F873" s="5"/>
      <c r="G873" s="5"/>
      <c r="H873" s="5"/>
      <c r="M873" s="5"/>
      <c r="N873" s="5"/>
      <c r="P873" s="5"/>
    </row>
    <row r="874" spans="2:16" ht="14.25" customHeight="1">
      <c r="B874" s="5"/>
      <c r="C874" s="5"/>
      <c r="D874" s="5"/>
      <c r="E874" s="5"/>
      <c r="F874" s="5"/>
      <c r="G874" s="5"/>
      <c r="H874" s="5"/>
      <c r="M874" s="5"/>
      <c r="N874" s="5"/>
      <c r="P874" s="5"/>
    </row>
    <row r="875" spans="2:16" ht="14.25" customHeight="1">
      <c r="B875" s="5"/>
      <c r="C875" s="5"/>
      <c r="D875" s="5"/>
      <c r="E875" s="5"/>
      <c r="F875" s="5"/>
      <c r="G875" s="5"/>
      <c r="H875" s="5"/>
      <c r="M875" s="5"/>
      <c r="N875" s="5"/>
      <c r="P875" s="5"/>
    </row>
    <row r="876" spans="2:16" ht="14.25" customHeight="1">
      <c r="B876" s="5"/>
      <c r="C876" s="5"/>
      <c r="D876" s="5"/>
      <c r="E876" s="5"/>
      <c r="F876" s="5"/>
      <c r="G876" s="5"/>
      <c r="H876" s="5"/>
      <c r="M876" s="5"/>
      <c r="N876" s="5"/>
      <c r="P876" s="5"/>
    </row>
    <row r="877" spans="2:16" ht="14.25" customHeight="1">
      <c r="B877" s="5"/>
      <c r="C877" s="5"/>
      <c r="D877" s="5"/>
      <c r="E877" s="5"/>
      <c r="F877" s="5"/>
      <c r="G877" s="5"/>
      <c r="H877" s="5"/>
      <c r="M877" s="5"/>
      <c r="N877" s="5"/>
      <c r="P877" s="5"/>
    </row>
    <row r="878" spans="2:16" ht="14.25" customHeight="1">
      <c r="B878" s="5"/>
      <c r="C878" s="5"/>
      <c r="D878" s="5"/>
      <c r="E878" s="5"/>
      <c r="F878" s="5"/>
      <c r="G878" s="5"/>
      <c r="H878" s="5"/>
      <c r="M878" s="5"/>
      <c r="N878" s="5"/>
      <c r="P878" s="5"/>
    </row>
    <row r="879" spans="2:16" ht="14.25" customHeight="1">
      <c r="B879" s="5"/>
      <c r="C879" s="5"/>
      <c r="D879" s="5"/>
      <c r="E879" s="5"/>
      <c r="F879" s="5"/>
      <c r="G879" s="5"/>
      <c r="H879" s="5"/>
      <c r="M879" s="5"/>
      <c r="N879" s="5"/>
      <c r="P879" s="5"/>
    </row>
    <row r="880" spans="2:16" ht="14.25" customHeight="1">
      <c r="B880" s="5"/>
      <c r="C880" s="5"/>
      <c r="D880" s="5"/>
      <c r="E880" s="5"/>
      <c r="F880" s="5"/>
      <c r="G880" s="5"/>
      <c r="H880" s="5"/>
      <c r="M880" s="5"/>
      <c r="N880" s="5"/>
      <c r="P880" s="5"/>
    </row>
    <row r="881" spans="2:16" ht="14.25" customHeight="1">
      <c r="B881" s="5"/>
      <c r="C881" s="5"/>
      <c r="D881" s="5"/>
      <c r="E881" s="5"/>
      <c r="F881" s="5"/>
      <c r="G881" s="5"/>
      <c r="H881" s="5"/>
      <c r="M881" s="5"/>
      <c r="N881" s="5"/>
      <c r="P881" s="5"/>
    </row>
    <row r="882" spans="2:16" ht="14.25" customHeight="1">
      <c r="B882" s="5"/>
      <c r="C882" s="5"/>
      <c r="D882" s="5"/>
      <c r="E882" s="5"/>
      <c r="F882" s="5"/>
      <c r="G882" s="5"/>
      <c r="H882" s="5"/>
      <c r="M882" s="5"/>
      <c r="N882" s="5"/>
      <c r="P882" s="5"/>
    </row>
    <row r="883" spans="2:16" ht="14.25" customHeight="1">
      <c r="B883" s="5"/>
      <c r="C883" s="5"/>
      <c r="D883" s="5"/>
      <c r="E883" s="5"/>
      <c r="F883" s="5"/>
      <c r="G883" s="5"/>
      <c r="H883" s="5"/>
      <c r="M883" s="5"/>
      <c r="N883" s="5"/>
      <c r="P883" s="5"/>
    </row>
    <row r="884" spans="2:16" ht="14.25" customHeight="1">
      <c r="B884" s="5"/>
      <c r="C884" s="5"/>
      <c r="D884" s="5"/>
      <c r="E884" s="5"/>
      <c r="F884" s="5"/>
      <c r="G884" s="5"/>
      <c r="H884" s="5"/>
      <c r="M884" s="5"/>
      <c r="N884" s="5"/>
      <c r="P884" s="5"/>
    </row>
    <row r="885" spans="2:16" ht="14.25" customHeight="1">
      <c r="B885" s="5"/>
      <c r="C885" s="5"/>
      <c r="D885" s="5"/>
      <c r="E885" s="5"/>
      <c r="F885" s="5"/>
      <c r="G885" s="5"/>
      <c r="H885" s="5"/>
      <c r="M885" s="5"/>
      <c r="N885" s="5"/>
      <c r="P885" s="5"/>
    </row>
    <row r="886" spans="2:16" ht="14.25" customHeight="1">
      <c r="B886" s="5"/>
      <c r="C886" s="5"/>
      <c r="D886" s="5"/>
      <c r="E886" s="5"/>
      <c r="F886" s="5"/>
      <c r="G886" s="5"/>
      <c r="H886" s="5"/>
      <c r="M886" s="5"/>
      <c r="N886" s="5"/>
      <c r="P886" s="5"/>
    </row>
    <row r="887" spans="2:16" ht="14.25" customHeight="1">
      <c r="B887" s="5"/>
      <c r="C887" s="5"/>
      <c r="D887" s="5"/>
      <c r="E887" s="5"/>
      <c r="F887" s="5"/>
      <c r="G887" s="5"/>
      <c r="H887" s="5"/>
      <c r="M887" s="5"/>
      <c r="N887" s="5"/>
      <c r="P887" s="5"/>
    </row>
    <row r="888" spans="2:16" ht="14.25" customHeight="1">
      <c r="B888" s="5"/>
      <c r="C888" s="5"/>
      <c r="D888" s="5"/>
      <c r="E888" s="5"/>
      <c r="F888" s="5"/>
      <c r="G888" s="5"/>
      <c r="H888" s="5"/>
      <c r="M888" s="5"/>
      <c r="N888" s="5"/>
      <c r="P888" s="5"/>
    </row>
    <row r="889" spans="2:16" ht="14.25" customHeight="1">
      <c r="B889" s="5"/>
      <c r="C889" s="5"/>
      <c r="D889" s="5"/>
      <c r="E889" s="5"/>
      <c r="F889" s="5"/>
      <c r="G889" s="5"/>
      <c r="H889" s="5"/>
      <c r="M889" s="5"/>
      <c r="N889" s="5"/>
      <c r="P889" s="5"/>
    </row>
    <row r="890" spans="2:16" ht="14.25" customHeight="1">
      <c r="B890" s="5"/>
      <c r="C890" s="5"/>
      <c r="D890" s="5"/>
      <c r="E890" s="5"/>
      <c r="F890" s="5"/>
      <c r="G890" s="5"/>
      <c r="H890" s="5"/>
      <c r="M890" s="5"/>
      <c r="N890" s="5"/>
      <c r="P890" s="5"/>
    </row>
    <row r="891" spans="2:16" ht="14.25" customHeight="1">
      <c r="B891" s="5"/>
      <c r="C891" s="5"/>
      <c r="D891" s="5"/>
      <c r="E891" s="5"/>
      <c r="F891" s="5"/>
      <c r="G891" s="5"/>
      <c r="H891" s="5"/>
      <c r="M891" s="5"/>
      <c r="N891" s="5"/>
      <c r="P891" s="5"/>
    </row>
    <row r="892" spans="2:16" ht="14.25" customHeight="1">
      <c r="B892" s="5"/>
      <c r="C892" s="5"/>
      <c r="D892" s="5"/>
      <c r="E892" s="5"/>
      <c r="F892" s="5"/>
      <c r="G892" s="5"/>
      <c r="H892" s="5"/>
      <c r="M892" s="5"/>
      <c r="N892" s="5"/>
      <c r="P892" s="5"/>
    </row>
    <row r="893" spans="2:16" ht="14.25" customHeight="1">
      <c r="B893" s="5"/>
      <c r="C893" s="5"/>
      <c r="D893" s="5"/>
      <c r="E893" s="5"/>
      <c r="F893" s="5"/>
      <c r="G893" s="5"/>
      <c r="H893" s="5"/>
      <c r="M893" s="5"/>
      <c r="N893" s="5"/>
      <c r="P893" s="5"/>
    </row>
    <row r="894" spans="2:16" ht="14.25" customHeight="1">
      <c r="B894" s="5"/>
      <c r="C894" s="5"/>
      <c r="D894" s="5"/>
      <c r="E894" s="5"/>
      <c r="F894" s="5"/>
      <c r="G894" s="5"/>
      <c r="H894" s="5"/>
      <c r="M894" s="5"/>
      <c r="N894" s="5"/>
      <c r="P894" s="5"/>
    </row>
    <row r="895" spans="2:16" ht="14.25" customHeight="1">
      <c r="B895" s="5"/>
      <c r="C895" s="5"/>
      <c r="D895" s="5"/>
      <c r="E895" s="5"/>
      <c r="F895" s="5"/>
      <c r="G895" s="5"/>
      <c r="H895" s="5"/>
      <c r="M895" s="5"/>
      <c r="N895" s="5"/>
      <c r="P895" s="5"/>
    </row>
    <row r="896" spans="2:16" ht="14.25" customHeight="1">
      <c r="B896" s="5"/>
      <c r="C896" s="5"/>
      <c r="D896" s="5"/>
      <c r="E896" s="5"/>
      <c r="F896" s="5"/>
      <c r="G896" s="5"/>
      <c r="H896" s="5"/>
      <c r="M896" s="5"/>
      <c r="N896" s="5"/>
      <c r="P896" s="5"/>
    </row>
    <row r="897" spans="2:16" ht="14.25" customHeight="1">
      <c r="B897" s="5"/>
      <c r="C897" s="5"/>
      <c r="D897" s="5"/>
      <c r="E897" s="5"/>
      <c r="F897" s="5"/>
      <c r="G897" s="5"/>
      <c r="H897" s="5"/>
      <c r="M897" s="5"/>
      <c r="N897" s="5"/>
      <c r="P897" s="5"/>
    </row>
    <row r="898" spans="2:16" ht="14.25" customHeight="1">
      <c r="B898" s="5"/>
      <c r="C898" s="5"/>
      <c r="D898" s="5"/>
      <c r="E898" s="5"/>
      <c r="F898" s="5"/>
      <c r="G898" s="5"/>
      <c r="H898" s="5"/>
      <c r="M898" s="5"/>
      <c r="N898" s="5"/>
      <c r="P898" s="5"/>
    </row>
    <row r="899" spans="2:16" ht="14.25" customHeight="1">
      <c r="B899" s="5"/>
      <c r="C899" s="5"/>
      <c r="D899" s="5"/>
      <c r="E899" s="5"/>
      <c r="F899" s="5"/>
      <c r="G899" s="5"/>
      <c r="H899" s="5"/>
      <c r="M899" s="5"/>
      <c r="N899" s="5"/>
      <c r="P899" s="5"/>
    </row>
    <row r="900" spans="2:16" ht="14.25" customHeight="1">
      <c r="B900" s="5"/>
      <c r="C900" s="5"/>
      <c r="D900" s="5"/>
      <c r="E900" s="5"/>
      <c r="F900" s="5"/>
      <c r="G900" s="5"/>
      <c r="H900" s="5"/>
      <c r="M900" s="5"/>
      <c r="N900" s="5"/>
      <c r="P900" s="5"/>
    </row>
    <row r="901" spans="2:16" ht="14.25" customHeight="1">
      <c r="B901" s="5"/>
      <c r="C901" s="5"/>
      <c r="D901" s="5"/>
      <c r="E901" s="5"/>
      <c r="F901" s="5"/>
      <c r="G901" s="5"/>
      <c r="H901" s="5"/>
      <c r="M901" s="5"/>
      <c r="N901" s="5"/>
      <c r="P901" s="5"/>
    </row>
    <row r="902" spans="2:16" ht="14.25" customHeight="1">
      <c r="B902" s="5"/>
      <c r="C902" s="5"/>
      <c r="D902" s="5"/>
      <c r="E902" s="5"/>
      <c r="F902" s="5"/>
      <c r="G902" s="5"/>
      <c r="H902" s="5"/>
      <c r="M902" s="5"/>
      <c r="N902" s="5"/>
      <c r="P902" s="5"/>
    </row>
    <row r="903" spans="2:16" ht="14.25" customHeight="1">
      <c r="B903" s="5"/>
      <c r="C903" s="5"/>
      <c r="D903" s="5"/>
      <c r="E903" s="5"/>
      <c r="F903" s="5"/>
      <c r="G903" s="5"/>
      <c r="H903" s="5"/>
      <c r="M903" s="5"/>
      <c r="N903" s="5"/>
      <c r="P903" s="5"/>
    </row>
    <row r="904" spans="2:16" ht="14.25" customHeight="1">
      <c r="B904" s="5"/>
      <c r="C904" s="5"/>
      <c r="D904" s="5"/>
      <c r="E904" s="5"/>
      <c r="F904" s="5"/>
      <c r="G904" s="5"/>
      <c r="H904" s="5"/>
      <c r="M904" s="5"/>
      <c r="N904" s="5"/>
      <c r="P904" s="5"/>
    </row>
    <row r="905" spans="2:16" ht="14.25" customHeight="1">
      <c r="B905" s="5"/>
      <c r="C905" s="5"/>
      <c r="D905" s="5"/>
      <c r="E905" s="5"/>
      <c r="F905" s="5"/>
      <c r="G905" s="5"/>
      <c r="H905" s="5"/>
      <c r="M905" s="5"/>
      <c r="N905" s="5"/>
      <c r="P905" s="5"/>
    </row>
    <row r="906" spans="2:16" ht="14.25" customHeight="1">
      <c r="B906" s="5"/>
      <c r="C906" s="5"/>
      <c r="D906" s="5"/>
      <c r="E906" s="5"/>
      <c r="F906" s="5"/>
      <c r="G906" s="5"/>
      <c r="H906" s="5"/>
      <c r="M906" s="5"/>
      <c r="N906" s="5"/>
      <c r="P906" s="5"/>
    </row>
    <row r="907" spans="2:16" ht="14.25" customHeight="1">
      <c r="B907" s="5"/>
      <c r="C907" s="5"/>
      <c r="D907" s="5"/>
      <c r="E907" s="5"/>
      <c r="F907" s="5"/>
      <c r="G907" s="5"/>
      <c r="H907" s="5"/>
      <c r="M907" s="5"/>
      <c r="N907" s="5"/>
      <c r="P907" s="5"/>
    </row>
    <row r="908" spans="2:16" ht="14.25" customHeight="1">
      <c r="B908" s="5"/>
      <c r="C908" s="5"/>
      <c r="D908" s="5"/>
      <c r="E908" s="5"/>
      <c r="F908" s="5"/>
      <c r="G908" s="5"/>
      <c r="H908" s="5"/>
      <c r="M908" s="5"/>
      <c r="N908" s="5"/>
      <c r="P908" s="5"/>
    </row>
    <row r="909" spans="2:16" ht="14.25" customHeight="1">
      <c r="B909" s="5"/>
      <c r="C909" s="5"/>
      <c r="D909" s="5"/>
      <c r="E909" s="5"/>
      <c r="F909" s="5"/>
      <c r="G909" s="5"/>
      <c r="H909" s="5"/>
      <c r="M909" s="5"/>
      <c r="N909" s="5"/>
      <c r="P909" s="5"/>
    </row>
    <row r="910" spans="2:16" ht="14.25" customHeight="1">
      <c r="B910" s="5"/>
      <c r="C910" s="5"/>
      <c r="D910" s="5"/>
      <c r="E910" s="5"/>
      <c r="F910" s="5"/>
      <c r="G910" s="5"/>
      <c r="H910" s="5"/>
      <c r="M910" s="5"/>
      <c r="N910" s="5"/>
      <c r="P910" s="5"/>
    </row>
    <row r="911" spans="2:16" ht="14.25" customHeight="1">
      <c r="B911" s="5"/>
      <c r="C911" s="5"/>
      <c r="D911" s="5"/>
      <c r="E911" s="5"/>
      <c r="F911" s="5"/>
      <c r="G911" s="5"/>
      <c r="H911" s="5"/>
      <c r="M911" s="5"/>
      <c r="N911" s="5"/>
      <c r="P911" s="5"/>
    </row>
    <row r="912" spans="2:16" ht="14.25" customHeight="1">
      <c r="B912" s="5"/>
      <c r="C912" s="5"/>
      <c r="D912" s="5"/>
      <c r="E912" s="5"/>
      <c r="F912" s="5"/>
      <c r="G912" s="5"/>
      <c r="H912" s="5"/>
      <c r="M912" s="5"/>
      <c r="N912" s="5"/>
      <c r="P912" s="5"/>
    </row>
    <row r="913" spans="2:16" ht="14.25" customHeight="1">
      <c r="B913" s="5"/>
      <c r="C913" s="5"/>
      <c r="D913" s="5"/>
      <c r="E913" s="5"/>
      <c r="F913" s="5"/>
      <c r="G913" s="5"/>
      <c r="H913" s="5"/>
      <c r="M913" s="5"/>
      <c r="N913" s="5"/>
      <c r="P913" s="5"/>
    </row>
    <row r="914" spans="2:16" ht="14.25" customHeight="1">
      <c r="B914" s="5"/>
      <c r="C914" s="5"/>
      <c r="D914" s="5"/>
      <c r="E914" s="5"/>
      <c r="F914" s="5"/>
      <c r="G914" s="5"/>
      <c r="H914" s="5"/>
      <c r="M914" s="5"/>
      <c r="N914" s="5"/>
      <c r="P914" s="5"/>
    </row>
    <row r="915" spans="2:16" ht="14.25" customHeight="1">
      <c r="B915" s="5"/>
      <c r="C915" s="5"/>
      <c r="D915" s="5"/>
      <c r="E915" s="5"/>
      <c r="F915" s="5"/>
      <c r="G915" s="5"/>
      <c r="H915" s="5"/>
      <c r="M915" s="5"/>
      <c r="N915" s="5"/>
      <c r="P915" s="5"/>
    </row>
    <row r="916" spans="2:16" ht="14.25" customHeight="1">
      <c r="B916" s="5"/>
      <c r="C916" s="5"/>
      <c r="D916" s="5"/>
      <c r="E916" s="5"/>
      <c r="F916" s="5"/>
      <c r="G916" s="5"/>
      <c r="H916" s="5"/>
      <c r="M916" s="5"/>
      <c r="N916" s="5"/>
      <c r="P916" s="5"/>
    </row>
    <row r="917" spans="2:16" ht="14.25" customHeight="1">
      <c r="B917" s="5"/>
      <c r="C917" s="5"/>
      <c r="D917" s="5"/>
      <c r="E917" s="5"/>
      <c r="F917" s="5"/>
      <c r="G917" s="5"/>
      <c r="H917" s="5"/>
      <c r="M917" s="5"/>
      <c r="N917" s="5"/>
      <c r="P917" s="5"/>
    </row>
    <row r="918" spans="2:16" ht="14.25" customHeight="1">
      <c r="B918" s="5"/>
      <c r="C918" s="5"/>
      <c r="D918" s="5"/>
      <c r="E918" s="5"/>
      <c r="F918" s="5"/>
      <c r="G918" s="5"/>
      <c r="H918" s="5"/>
      <c r="M918" s="5"/>
      <c r="N918" s="5"/>
      <c r="P918" s="5"/>
    </row>
    <row r="919" spans="2:16" ht="14.25" customHeight="1">
      <c r="B919" s="5"/>
      <c r="C919" s="5"/>
      <c r="D919" s="5"/>
      <c r="E919" s="5"/>
      <c r="F919" s="5"/>
      <c r="G919" s="5"/>
      <c r="H919" s="5"/>
      <c r="M919" s="5"/>
      <c r="N919" s="5"/>
      <c r="P919" s="5"/>
    </row>
    <row r="920" spans="2:16" ht="14.25" customHeight="1">
      <c r="B920" s="5"/>
      <c r="C920" s="5"/>
      <c r="D920" s="5"/>
      <c r="E920" s="5"/>
      <c r="F920" s="5"/>
      <c r="G920" s="5"/>
      <c r="H920" s="5"/>
      <c r="M920" s="5"/>
      <c r="N920" s="5"/>
      <c r="P920" s="5"/>
    </row>
    <row r="921" spans="2:16" ht="14.25" customHeight="1">
      <c r="B921" s="5"/>
      <c r="C921" s="5"/>
      <c r="D921" s="5"/>
      <c r="E921" s="5"/>
      <c r="F921" s="5"/>
      <c r="G921" s="5"/>
      <c r="H921" s="5"/>
      <c r="M921" s="5"/>
      <c r="N921" s="5"/>
      <c r="P921" s="5"/>
    </row>
    <row r="922" spans="2:16" ht="14.25" customHeight="1">
      <c r="B922" s="5"/>
      <c r="C922" s="5"/>
      <c r="D922" s="5"/>
      <c r="E922" s="5"/>
      <c r="F922" s="5"/>
      <c r="G922" s="5"/>
      <c r="H922" s="5"/>
      <c r="M922" s="5"/>
      <c r="N922" s="5"/>
      <c r="P922" s="5"/>
    </row>
    <row r="923" spans="2:16" ht="14.25" customHeight="1">
      <c r="B923" s="5"/>
      <c r="C923" s="5"/>
      <c r="D923" s="5"/>
      <c r="E923" s="5"/>
      <c r="F923" s="5"/>
      <c r="G923" s="5"/>
      <c r="H923" s="5"/>
      <c r="M923" s="5"/>
      <c r="N923" s="5"/>
      <c r="P923" s="5"/>
    </row>
    <row r="924" spans="2:16" ht="14.25" customHeight="1">
      <c r="B924" s="5"/>
      <c r="C924" s="5"/>
      <c r="D924" s="5"/>
      <c r="E924" s="5"/>
      <c r="F924" s="5"/>
      <c r="G924" s="5"/>
      <c r="H924" s="5"/>
      <c r="M924" s="5"/>
      <c r="N924" s="5"/>
      <c r="P924" s="5"/>
    </row>
    <row r="925" spans="2:16" ht="14.25" customHeight="1">
      <c r="B925" s="5"/>
      <c r="C925" s="5"/>
      <c r="D925" s="5"/>
      <c r="E925" s="5"/>
      <c r="F925" s="5"/>
      <c r="G925" s="5"/>
      <c r="H925" s="5"/>
      <c r="M925" s="5"/>
      <c r="N925" s="5"/>
      <c r="P925" s="5"/>
    </row>
    <row r="926" spans="2:16" ht="14.25" customHeight="1">
      <c r="B926" s="5"/>
      <c r="C926" s="5"/>
      <c r="D926" s="5"/>
      <c r="E926" s="5"/>
      <c r="F926" s="5"/>
      <c r="G926" s="5"/>
      <c r="H926" s="5"/>
      <c r="M926" s="5"/>
      <c r="N926" s="5"/>
      <c r="P926" s="5"/>
    </row>
    <row r="927" spans="2:16" ht="14.25" customHeight="1">
      <c r="B927" s="5"/>
      <c r="C927" s="5"/>
      <c r="D927" s="5"/>
      <c r="E927" s="5"/>
      <c r="F927" s="5"/>
      <c r="G927" s="5"/>
      <c r="H927" s="5"/>
      <c r="M927" s="5"/>
      <c r="N927" s="5"/>
      <c r="P927" s="5"/>
    </row>
    <row r="928" spans="2:16" ht="14.25" customHeight="1">
      <c r="B928" s="5"/>
      <c r="C928" s="5"/>
      <c r="D928" s="5"/>
      <c r="E928" s="5"/>
      <c r="F928" s="5"/>
      <c r="G928" s="5"/>
      <c r="H928" s="5"/>
      <c r="M928" s="5"/>
      <c r="N928" s="5"/>
      <c r="P928" s="5"/>
    </row>
    <row r="929" spans="2:16" ht="14.25" customHeight="1">
      <c r="B929" s="5"/>
      <c r="C929" s="5"/>
      <c r="D929" s="5"/>
      <c r="E929" s="5"/>
      <c r="F929" s="5"/>
      <c r="G929" s="5"/>
      <c r="H929" s="5"/>
      <c r="M929" s="5"/>
      <c r="N929" s="5"/>
      <c r="P929" s="5"/>
    </row>
    <row r="930" spans="2:16" ht="14.25" customHeight="1">
      <c r="B930" s="5"/>
      <c r="C930" s="5"/>
      <c r="D930" s="5"/>
      <c r="E930" s="5"/>
      <c r="F930" s="5"/>
      <c r="G930" s="5"/>
      <c r="H930" s="5"/>
      <c r="M930" s="5"/>
      <c r="N930" s="5"/>
      <c r="P930" s="5"/>
    </row>
    <row r="931" spans="2:16" ht="14.25" customHeight="1">
      <c r="B931" s="5"/>
      <c r="C931" s="5"/>
      <c r="D931" s="5"/>
      <c r="E931" s="5"/>
      <c r="F931" s="5"/>
      <c r="G931" s="5"/>
      <c r="H931" s="5"/>
      <c r="M931" s="5"/>
      <c r="N931" s="5"/>
      <c r="P931" s="5"/>
    </row>
    <row r="932" spans="2:16" ht="14.25" customHeight="1">
      <c r="B932" s="5"/>
      <c r="C932" s="5"/>
      <c r="D932" s="5"/>
      <c r="E932" s="5"/>
      <c r="F932" s="5"/>
      <c r="G932" s="5"/>
      <c r="H932" s="5"/>
      <c r="M932" s="5"/>
      <c r="N932" s="5"/>
      <c r="P932" s="5"/>
    </row>
    <row r="933" spans="2:16" ht="14.25" customHeight="1">
      <c r="B933" s="5"/>
      <c r="C933" s="5"/>
      <c r="D933" s="5"/>
      <c r="E933" s="5"/>
      <c r="F933" s="5"/>
      <c r="G933" s="5"/>
      <c r="H933" s="5"/>
      <c r="M933" s="5"/>
      <c r="N933" s="5"/>
      <c r="P933" s="5"/>
    </row>
    <row r="934" spans="2:16" ht="14.25" customHeight="1">
      <c r="B934" s="5"/>
      <c r="C934" s="5"/>
      <c r="D934" s="5"/>
      <c r="E934" s="5"/>
      <c r="F934" s="5"/>
      <c r="G934" s="5"/>
      <c r="H934" s="5"/>
      <c r="M934" s="5"/>
      <c r="N934" s="5"/>
      <c r="P934" s="5"/>
    </row>
    <row r="935" spans="2:16" ht="14.25" customHeight="1">
      <c r="B935" s="5"/>
      <c r="C935" s="5"/>
      <c r="D935" s="5"/>
      <c r="E935" s="5"/>
      <c r="F935" s="5"/>
      <c r="G935" s="5"/>
      <c r="H935" s="5"/>
      <c r="M935" s="5"/>
      <c r="N935" s="5"/>
      <c r="P935" s="5"/>
    </row>
    <row r="936" spans="2:16" ht="14.25" customHeight="1">
      <c r="B936" s="5"/>
      <c r="C936" s="5"/>
      <c r="D936" s="5"/>
      <c r="E936" s="5"/>
      <c r="F936" s="5"/>
      <c r="G936" s="5"/>
      <c r="H936" s="5"/>
      <c r="M936" s="5"/>
      <c r="N936" s="5"/>
      <c r="P936" s="5"/>
    </row>
    <row r="937" spans="2:16" ht="14.25" customHeight="1">
      <c r="B937" s="5"/>
      <c r="C937" s="5"/>
      <c r="D937" s="5"/>
      <c r="E937" s="5"/>
      <c r="F937" s="5"/>
      <c r="G937" s="5"/>
      <c r="H937" s="5"/>
      <c r="M937" s="5"/>
      <c r="N937" s="5"/>
      <c r="P937" s="5"/>
    </row>
    <row r="938" spans="2:16" ht="14.25" customHeight="1">
      <c r="B938" s="5"/>
      <c r="C938" s="5"/>
      <c r="D938" s="5"/>
      <c r="E938" s="5"/>
      <c r="F938" s="5"/>
      <c r="G938" s="5"/>
      <c r="H938" s="5"/>
      <c r="M938" s="5"/>
      <c r="N938" s="5"/>
      <c r="P938" s="5"/>
    </row>
    <row r="939" spans="2:16" ht="14.25" customHeight="1">
      <c r="B939" s="5"/>
      <c r="C939" s="5"/>
      <c r="D939" s="5"/>
      <c r="E939" s="5"/>
      <c r="F939" s="5"/>
      <c r="G939" s="5"/>
      <c r="H939" s="5"/>
      <c r="M939" s="5"/>
      <c r="N939" s="5"/>
      <c r="P939" s="5"/>
    </row>
    <row r="940" spans="2:16" ht="14.25" customHeight="1">
      <c r="B940" s="5"/>
      <c r="C940" s="5"/>
      <c r="D940" s="5"/>
      <c r="E940" s="5"/>
      <c r="F940" s="5"/>
      <c r="G940" s="5"/>
      <c r="H940" s="5"/>
      <c r="M940" s="5"/>
      <c r="N940" s="5"/>
      <c r="P940" s="5"/>
    </row>
    <row r="941" spans="2:16" ht="14.25" customHeight="1">
      <c r="B941" s="5"/>
      <c r="C941" s="5"/>
      <c r="D941" s="5"/>
      <c r="E941" s="5"/>
      <c r="F941" s="5"/>
      <c r="G941" s="5"/>
      <c r="H941" s="5"/>
      <c r="M941" s="5"/>
      <c r="N941" s="5"/>
      <c r="P941" s="5"/>
    </row>
    <row r="942" spans="2:16" ht="14.25" customHeight="1">
      <c r="B942" s="5"/>
      <c r="C942" s="5"/>
      <c r="D942" s="5"/>
      <c r="E942" s="5"/>
      <c r="F942" s="5"/>
      <c r="G942" s="5"/>
      <c r="H942" s="5"/>
      <c r="M942" s="5"/>
      <c r="N942" s="5"/>
      <c r="P942" s="5"/>
    </row>
    <row r="943" spans="2:16" ht="14.25" customHeight="1">
      <c r="B943" s="5"/>
      <c r="C943" s="5"/>
      <c r="D943" s="5"/>
      <c r="E943" s="5"/>
      <c r="F943" s="5"/>
      <c r="G943" s="5"/>
      <c r="H943" s="5"/>
      <c r="M943" s="5"/>
      <c r="N943" s="5"/>
      <c r="P943" s="5"/>
    </row>
    <row r="944" spans="2:16" ht="14.25" customHeight="1">
      <c r="B944" s="5"/>
      <c r="C944" s="5"/>
      <c r="D944" s="5"/>
      <c r="E944" s="5"/>
      <c r="F944" s="5"/>
      <c r="G944" s="5"/>
      <c r="H944" s="5"/>
      <c r="M944" s="5"/>
      <c r="N944" s="5"/>
      <c r="P944" s="5"/>
    </row>
    <row r="945" spans="2:16" ht="14.25" customHeight="1">
      <c r="B945" s="5"/>
      <c r="C945" s="5"/>
      <c r="D945" s="5"/>
      <c r="E945" s="5"/>
      <c r="F945" s="5"/>
      <c r="G945" s="5"/>
      <c r="H945" s="5"/>
      <c r="M945" s="5"/>
      <c r="N945" s="5"/>
      <c r="P945" s="5"/>
    </row>
    <row r="946" spans="2:16" ht="14.25" customHeight="1">
      <c r="B946" s="5"/>
      <c r="C946" s="5"/>
      <c r="D946" s="5"/>
      <c r="E946" s="5"/>
      <c r="F946" s="5"/>
      <c r="G946" s="5"/>
      <c r="H946" s="5"/>
      <c r="M946" s="5"/>
      <c r="N946" s="5"/>
      <c r="P946" s="5"/>
    </row>
    <row r="947" spans="2:16" ht="14.25" customHeight="1">
      <c r="B947" s="5"/>
      <c r="C947" s="5"/>
      <c r="D947" s="5"/>
      <c r="E947" s="5"/>
      <c r="F947" s="5"/>
      <c r="G947" s="5"/>
      <c r="H947" s="5"/>
      <c r="M947" s="5"/>
      <c r="N947" s="5"/>
      <c r="P947" s="5"/>
    </row>
    <row r="948" spans="2:16" ht="14.25" customHeight="1">
      <c r="B948" s="5"/>
      <c r="C948" s="5"/>
      <c r="D948" s="5"/>
      <c r="E948" s="5"/>
      <c r="F948" s="5"/>
      <c r="G948" s="5"/>
      <c r="H948" s="5"/>
      <c r="M948" s="5"/>
      <c r="N948" s="5"/>
      <c r="P948" s="5"/>
    </row>
    <row r="949" spans="2:16" ht="14.25" customHeight="1">
      <c r="B949" s="5"/>
      <c r="C949" s="5"/>
      <c r="D949" s="5"/>
      <c r="E949" s="5"/>
      <c r="F949" s="5"/>
      <c r="G949" s="5"/>
      <c r="H949" s="5"/>
      <c r="M949" s="5"/>
      <c r="N949" s="5"/>
      <c r="P949" s="5"/>
    </row>
    <row r="950" spans="2:16" ht="14.25" customHeight="1">
      <c r="B950" s="5"/>
      <c r="C950" s="5"/>
      <c r="D950" s="5"/>
      <c r="E950" s="5"/>
      <c r="F950" s="5"/>
      <c r="G950" s="5"/>
      <c r="H950" s="5"/>
      <c r="M950" s="5"/>
      <c r="N950" s="5"/>
      <c r="P950" s="5"/>
    </row>
    <row r="951" spans="2:16" ht="14.25" customHeight="1">
      <c r="B951" s="5"/>
      <c r="C951" s="5"/>
      <c r="D951" s="5"/>
      <c r="E951" s="5"/>
      <c r="F951" s="5"/>
      <c r="G951" s="5"/>
      <c r="H951" s="5"/>
      <c r="M951" s="5"/>
      <c r="N951" s="5"/>
      <c r="P951" s="5"/>
    </row>
    <row r="952" spans="2:16" ht="14.25" customHeight="1">
      <c r="B952" s="5"/>
      <c r="C952" s="5"/>
      <c r="D952" s="5"/>
      <c r="E952" s="5"/>
      <c r="F952" s="5"/>
      <c r="G952" s="5"/>
      <c r="H952" s="5"/>
      <c r="M952" s="5"/>
      <c r="N952" s="5"/>
      <c r="P952" s="5"/>
    </row>
    <row r="953" spans="2:16" ht="14.25" customHeight="1">
      <c r="B953" s="5"/>
      <c r="C953" s="5"/>
      <c r="D953" s="5"/>
      <c r="E953" s="5"/>
      <c r="F953" s="5"/>
      <c r="G953" s="5"/>
      <c r="H953" s="5"/>
      <c r="M953" s="5"/>
      <c r="N953" s="5"/>
      <c r="P953" s="5"/>
    </row>
    <row r="954" spans="2:16" ht="14.25" customHeight="1">
      <c r="B954" s="5"/>
      <c r="C954" s="5"/>
      <c r="D954" s="5"/>
      <c r="E954" s="5"/>
      <c r="F954" s="5"/>
      <c r="G954" s="5"/>
      <c r="H954" s="5"/>
      <c r="M954" s="5"/>
      <c r="N954" s="5"/>
      <c r="P954" s="5"/>
    </row>
    <row r="955" spans="2:16" ht="14.25" customHeight="1">
      <c r="B955" s="5"/>
      <c r="C955" s="5"/>
      <c r="D955" s="5"/>
      <c r="E955" s="5"/>
      <c r="F955" s="5"/>
      <c r="G955" s="5"/>
      <c r="H955" s="5"/>
      <c r="M955" s="5"/>
      <c r="N955" s="5"/>
      <c r="P955" s="5"/>
    </row>
    <row r="956" spans="2:16" ht="14.25" customHeight="1">
      <c r="B956" s="5"/>
      <c r="C956" s="5"/>
      <c r="D956" s="5"/>
      <c r="E956" s="5"/>
      <c r="F956" s="5"/>
      <c r="G956" s="5"/>
      <c r="H956" s="5"/>
      <c r="M956" s="5"/>
      <c r="N956" s="5"/>
      <c r="P956" s="5"/>
    </row>
    <row r="957" spans="2:16" ht="14.25" customHeight="1">
      <c r="B957" s="5"/>
      <c r="C957" s="5"/>
      <c r="D957" s="5"/>
      <c r="E957" s="5"/>
      <c r="F957" s="5"/>
      <c r="G957" s="5"/>
      <c r="H957" s="5"/>
      <c r="M957" s="5"/>
      <c r="N957" s="5"/>
      <c r="P957" s="5"/>
    </row>
    <row r="958" spans="2:16" ht="14.25" customHeight="1">
      <c r="B958" s="5"/>
      <c r="C958" s="5"/>
      <c r="D958" s="5"/>
      <c r="E958" s="5"/>
      <c r="F958" s="5"/>
      <c r="G958" s="5"/>
      <c r="H958" s="5"/>
      <c r="M958" s="5"/>
      <c r="N958" s="5"/>
      <c r="P958" s="5"/>
    </row>
    <row r="959" spans="2:16" ht="14.25" customHeight="1">
      <c r="B959" s="5"/>
      <c r="C959" s="5"/>
      <c r="D959" s="5"/>
      <c r="E959" s="5"/>
      <c r="F959" s="5"/>
      <c r="G959" s="5"/>
      <c r="H959" s="5"/>
      <c r="M959" s="5"/>
      <c r="N959" s="5"/>
      <c r="P959" s="5"/>
    </row>
    <row r="960" spans="2:16" ht="14.25" customHeight="1">
      <c r="B960" s="5"/>
      <c r="C960" s="5"/>
      <c r="D960" s="5"/>
      <c r="E960" s="5"/>
      <c r="F960" s="5"/>
      <c r="G960" s="5"/>
      <c r="H960" s="5"/>
      <c r="M960" s="5"/>
      <c r="N960" s="5"/>
      <c r="P960" s="5"/>
    </row>
    <row r="961" spans="2:16" ht="14.25" customHeight="1">
      <c r="B961" s="5"/>
      <c r="C961" s="5"/>
      <c r="D961" s="5"/>
      <c r="E961" s="5"/>
      <c r="F961" s="5"/>
      <c r="G961" s="5"/>
      <c r="H961" s="5"/>
      <c r="M961" s="5"/>
      <c r="N961" s="5"/>
      <c r="P961" s="5"/>
    </row>
    <row r="962" spans="2:16" ht="14.25" customHeight="1">
      <c r="B962" s="5"/>
      <c r="C962" s="5"/>
      <c r="D962" s="5"/>
      <c r="E962" s="5"/>
      <c r="F962" s="5"/>
      <c r="G962" s="5"/>
      <c r="H962" s="5"/>
      <c r="M962" s="5"/>
      <c r="N962" s="5"/>
      <c r="P962" s="5"/>
    </row>
    <row r="963" spans="2:16" ht="14.25" customHeight="1">
      <c r="B963" s="5"/>
      <c r="C963" s="5"/>
      <c r="D963" s="5"/>
      <c r="E963" s="5"/>
      <c r="F963" s="5"/>
      <c r="G963" s="5"/>
      <c r="H963" s="5"/>
      <c r="M963" s="5"/>
      <c r="N963" s="5"/>
      <c r="P963" s="5"/>
    </row>
    <row r="964" spans="2:16" ht="14.25" customHeight="1">
      <c r="B964" s="5"/>
      <c r="C964" s="5"/>
      <c r="D964" s="5"/>
      <c r="E964" s="5"/>
      <c r="F964" s="5"/>
      <c r="G964" s="5"/>
      <c r="H964" s="5"/>
      <c r="M964" s="5"/>
      <c r="N964" s="5"/>
      <c r="P964" s="5"/>
    </row>
    <row r="965" spans="2:16" ht="14.25" customHeight="1">
      <c r="B965" s="5"/>
      <c r="C965" s="5"/>
      <c r="D965" s="5"/>
      <c r="E965" s="5"/>
      <c r="F965" s="5"/>
      <c r="G965" s="5"/>
      <c r="H965" s="5"/>
      <c r="M965" s="5"/>
      <c r="N965" s="5"/>
      <c r="P965" s="5"/>
    </row>
    <row r="966" spans="2:16" ht="14.25" customHeight="1">
      <c r="B966" s="5"/>
      <c r="C966" s="5"/>
      <c r="D966" s="5"/>
      <c r="E966" s="5"/>
      <c r="F966" s="5"/>
      <c r="G966" s="5"/>
      <c r="H966" s="5"/>
      <c r="M966" s="5"/>
      <c r="N966" s="5"/>
      <c r="P966" s="5"/>
    </row>
    <row r="967" spans="2:16" ht="14.25" customHeight="1">
      <c r="B967" s="5"/>
      <c r="C967" s="5"/>
      <c r="D967" s="5"/>
      <c r="E967" s="5"/>
      <c r="F967" s="5"/>
      <c r="G967" s="5"/>
      <c r="H967" s="5"/>
      <c r="M967" s="5"/>
      <c r="N967" s="5"/>
      <c r="P967" s="5"/>
    </row>
    <row r="968" spans="2:16" ht="14.25" customHeight="1">
      <c r="B968" s="5"/>
      <c r="C968" s="5"/>
      <c r="D968" s="5"/>
      <c r="E968" s="5"/>
      <c r="F968" s="5"/>
      <c r="G968" s="5"/>
      <c r="H968" s="5"/>
      <c r="M968" s="5"/>
      <c r="N968" s="5"/>
      <c r="P968" s="5"/>
    </row>
    <row r="969" spans="2:16" ht="14.25" customHeight="1">
      <c r="B969" s="5"/>
      <c r="C969" s="5"/>
      <c r="D969" s="5"/>
      <c r="E969" s="5"/>
      <c r="F969" s="5"/>
      <c r="G969" s="5"/>
      <c r="H969" s="5"/>
      <c r="M969" s="5"/>
      <c r="N969" s="5"/>
      <c r="P969" s="5"/>
    </row>
    <row r="970" spans="2:16" ht="14.25" customHeight="1">
      <c r="B970" s="5"/>
      <c r="C970" s="5"/>
      <c r="D970" s="5"/>
      <c r="E970" s="5"/>
      <c r="F970" s="5"/>
      <c r="G970" s="5"/>
      <c r="H970" s="5"/>
      <c r="M970" s="5"/>
      <c r="N970" s="5"/>
      <c r="P970" s="5"/>
    </row>
    <row r="971" spans="2:16" ht="14.25" customHeight="1">
      <c r="B971" s="5"/>
      <c r="C971" s="5"/>
      <c r="D971" s="5"/>
      <c r="E971" s="5"/>
      <c r="F971" s="5"/>
      <c r="G971" s="5"/>
      <c r="H971" s="5"/>
      <c r="M971" s="5"/>
      <c r="N971" s="5"/>
      <c r="P971" s="5"/>
    </row>
    <row r="972" spans="2:16" ht="14.25" customHeight="1">
      <c r="B972" s="5"/>
      <c r="C972" s="5"/>
      <c r="D972" s="5"/>
      <c r="E972" s="5"/>
      <c r="F972" s="5"/>
      <c r="G972" s="5"/>
      <c r="H972" s="5"/>
      <c r="M972" s="5"/>
      <c r="N972" s="5"/>
      <c r="P972" s="5"/>
    </row>
    <row r="973" spans="2:16" ht="14.25" customHeight="1">
      <c r="B973" s="5"/>
      <c r="C973" s="5"/>
      <c r="D973" s="5"/>
      <c r="E973" s="5"/>
      <c r="F973" s="5"/>
      <c r="G973" s="5"/>
      <c r="H973" s="5"/>
      <c r="M973" s="5"/>
      <c r="N973" s="5"/>
      <c r="P973" s="5"/>
    </row>
    <row r="974" spans="2:16" ht="14.25" customHeight="1">
      <c r="B974" s="5"/>
      <c r="C974" s="5"/>
      <c r="D974" s="5"/>
      <c r="E974" s="5"/>
      <c r="F974" s="5"/>
      <c r="G974" s="5"/>
      <c r="H974" s="5"/>
      <c r="M974" s="5"/>
      <c r="N974" s="5"/>
      <c r="P974" s="5"/>
    </row>
    <row r="975" spans="2:16" ht="14.25" customHeight="1">
      <c r="B975" s="5"/>
      <c r="C975" s="5"/>
      <c r="D975" s="5"/>
      <c r="E975" s="5"/>
      <c r="F975" s="5"/>
      <c r="G975" s="5"/>
      <c r="H975" s="5"/>
      <c r="M975" s="5"/>
      <c r="N975" s="5"/>
      <c r="P975" s="5"/>
    </row>
    <row r="976" spans="2:16" ht="14.25" customHeight="1">
      <c r="B976" s="5"/>
      <c r="C976" s="5"/>
      <c r="D976" s="5"/>
      <c r="E976" s="5"/>
      <c r="F976" s="5"/>
      <c r="G976" s="5"/>
      <c r="H976" s="5"/>
      <c r="M976" s="5"/>
      <c r="N976" s="5"/>
      <c r="P976" s="5"/>
    </row>
    <row r="977" spans="2:16" ht="14.25" customHeight="1">
      <c r="B977" s="5"/>
      <c r="C977" s="5"/>
      <c r="D977" s="5"/>
      <c r="E977" s="5"/>
      <c r="F977" s="5"/>
      <c r="G977" s="5"/>
      <c r="H977" s="5"/>
      <c r="M977" s="5"/>
      <c r="N977" s="5"/>
      <c r="P977" s="5"/>
    </row>
    <row r="978" spans="2:16" ht="14.25" customHeight="1">
      <c r="B978" s="5"/>
      <c r="C978" s="5"/>
      <c r="D978" s="5"/>
      <c r="E978" s="5"/>
      <c r="F978" s="5"/>
      <c r="G978" s="5"/>
      <c r="H978" s="5"/>
      <c r="M978" s="5"/>
      <c r="N978" s="5"/>
      <c r="P978" s="5"/>
    </row>
    <row r="979" spans="2:16" ht="14.25" customHeight="1">
      <c r="B979" s="5"/>
      <c r="C979" s="5"/>
      <c r="D979" s="5"/>
      <c r="E979" s="5"/>
      <c r="F979" s="5"/>
      <c r="G979" s="5"/>
      <c r="H979" s="5"/>
      <c r="M979" s="5"/>
      <c r="N979" s="5"/>
      <c r="P979" s="5"/>
    </row>
    <row r="980" spans="2:16" ht="14.25" customHeight="1">
      <c r="B980" s="5"/>
      <c r="C980" s="5"/>
      <c r="D980" s="5"/>
      <c r="E980" s="5"/>
      <c r="F980" s="5"/>
      <c r="G980" s="5"/>
      <c r="H980" s="5"/>
      <c r="M980" s="5"/>
      <c r="N980" s="5"/>
      <c r="P980" s="5"/>
    </row>
    <row r="981" spans="2:16" ht="14.25" customHeight="1">
      <c r="B981" s="5"/>
      <c r="C981" s="5"/>
      <c r="D981" s="5"/>
      <c r="E981" s="5"/>
      <c r="F981" s="5"/>
      <c r="G981" s="5"/>
      <c r="H981" s="5"/>
      <c r="M981" s="5"/>
      <c r="N981" s="5"/>
      <c r="P981" s="5"/>
    </row>
    <row r="982" spans="2:16" ht="14.25" customHeight="1">
      <c r="B982" s="5"/>
      <c r="C982" s="5"/>
      <c r="D982" s="5"/>
      <c r="E982" s="5"/>
      <c r="F982" s="5"/>
      <c r="G982" s="5"/>
      <c r="H982" s="5"/>
      <c r="M982" s="5"/>
      <c r="N982" s="5"/>
      <c r="P982" s="5"/>
    </row>
    <row r="983" spans="2:16" ht="14.25" customHeight="1">
      <c r="B983" s="5"/>
      <c r="C983" s="5"/>
      <c r="D983" s="5"/>
      <c r="E983" s="5"/>
      <c r="F983" s="5"/>
      <c r="G983" s="5"/>
      <c r="H983" s="5"/>
      <c r="M983" s="5"/>
      <c r="N983" s="5"/>
      <c r="P983" s="5"/>
    </row>
    <row r="984" spans="2:16" ht="14.25" customHeight="1">
      <c r="B984" s="5"/>
      <c r="C984" s="5"/>
      <c r="D984" s="5"/>
      <c r="E984" s="5"/>
      <c r="F984" s="5"/>
      <c r="G984" s="5"/>
      <c r="H984" s="5"/>
      <c r="M984" s="5"/>
      <c r="N984" s="5"/>
      <c r="P984" s="5"/>
    </row>
    <row r="985" spans="2:16" ht="14.25" customHeight="1">
      <c r="B985" s="5"/>
      <c r="C985" s="5"/>
      <c r="D985" s="5"/>
      <c r="E985" s="5"/>
      <c r="F985" s="5"/>
      <c r="G985" s="5"/>
      <c r="H985" s="5"/>
      <c r="M985" s="5"/>
      <c r="N985" s="5"/>
      <c r="P985" s="5"/>
    </row>
    <row r="986" spans="2:16" ht="14.25" customHeight="1">
      <c r="B986" s="5"/>
      <c r="C986" s="5"/>
      <c r="D986" s="5"/>
      <c r="E986" s="5"/>
      <c r="F986" s="5"/>
      <c r="G986" s="5"/>
      <c r="H986" s="5"/>
      <c r="M986" s="5"/>
      <c r="N986" s="5"/>
      <c r="P986" s="5"/>
    </row>
    <row r="987" spans="2:16" ht="14.25" customHeight="1">
      <c r="B987" s="5"/>
      <c r="C987" s="5"/>
      <c r="D987" s="5"/>
      <c r="E987" s="5"/>
      <c r="F987" s="5"/>
      <c r="G987" s="5"/>
      <c r="H987" s="5"/>
      <c r="M987" s="5"/>
      <c r="N987" s="5"/>
      <c r="P987" s="5"/>
    </row>
    <row r="988" spans="2:16" ht="14.25" customHeight="1">
      <c r="B988" s="5"/>
      <c r="C988" s="5"/>
      <c r="D988" s="5"/>
      <c r="E988" s="5"/>
      <c r="F988" s="5"/>
      <c r="G988" s="5"/>
      <c r="H988" s="5"/>
      <c r="M988" s="5"/>
      <c r="N988" s="5"/>
      <c r="P988" s="5"/>
    </row>
    <row r="989" spans="2:16" ht="14.25" customHeight="1">
      <c r="B989" s="5"/>
      <c r="C989" s="5"/>
      <c r="D989" s="5"/>
      <c r="E989" s="5"/>
      <c r="F989" s="5"/>
      <c r="G989" s="5"/>
      <c r="H989" s="5"/>
      <c r="M989" s="5"/>
      <c r="N989" s="5"/>
      <c r="P989" s="5"/>
    </row>
    <row r="990" spans="2:16" ht="14.25" customHeight="1">
      <c r="B990" s="5"/>
      <c r="C990" s="5"/>
      <c r="D990" s="5"/>
      <c r="E990" s="5"/>
      <c r="F990" s="5"/>
      <c r="G990" s="5"/>
      <c r="H990" s="5"/>
      <c r="M990" s="5"/>
      <c r="N990" s="5"/>
      <c r="P990" s="5"/>
    </row>
    <row r="991" spans="2:16" ht="14.25" customHeight="1">
      <c r="B991" s="5"/>
      <c r="C991" s="5"/>
      <c r="D991" s="5"/>
      <c r="E991" s="5"/>
      <c r="F991" s="5"/>
      <c r="G991" s="5"/>
      <c r="H991" s="5"/>
      <c r="M991" s="5"/>
      <c r="N991" s="5"/>
      <c r="P991" s="5"/>
    </row>
    <row r="992" spans="2:16" ht="14.25" customHeight="1">
      <c r="B992" s="5"/>
      <c r="C992" s="5"/>
      <c r="D992" s="5"/>
      <c r="E992" s="5"/>
      <c r="F992" s="5"/>
      <c r="G992" s="5"/>
      <c r="H992" s="5"/>
      <c r="M992" s="5"/>
      <c r="N992" s="5"/>
      <c r="P992" s="5"/>
    </row>
    <row r="993" spans="2:16" ht="14.25" customHeight="1">
      <c r="B993" s="5"/>
      <c r="C993" s="5"/>
      <c r="D993" s="5"/>
      <c r="E993" s="5"/>
      <c r="F993" s="5"/>
      <c r="G993" s="5"/>
      <c r="H993" s="5"/>
      <c r="M993" s="5"/>
      <c r="N993" s="5"/>
      <c r="P993" s="5"/>
    </row>
    <row r="994" spans="2:16" ht="14.25" customHeight="1">
      <c r="B994" s="5"/>
      <c r="C994" s="5"/>
      <c r="D994" s="5"/>
      <c r="E994" s="5"/>
      <c r="F994" s="5"/>
      <c r="G994" s="5"/>
      <c r="H994" s="5"/>
      <c r="M994" s="5"/>
      <c r="N994" s="5"/>
      <c r="P994" s="5"/>
    </row>
    <row r="995" spans="2:16" ht="14.25" customHeight="1">
      <c r="B995" s="5"/>
      <c r="C995" s="5"/>
      <c r="D995" s="5"/>
      <c r="E995" s="5"/>
      <c r="F995" s="5"/>
      <c r="G995" s="5"/>
      <c r="H995" s="5"/>
      <c r="M995" s="5"/>
      <c r="N995" s="5"/>
      <c r="P995" s="5"/>
    </row>
    <row r="996" spans="2:16" ht="14.25" customHeight="1">
      <c r="B996" s="5"/>
      <c r="C996" s="5"/>
      <c r="D996" s="5"/>
      <c r="E996" s="5"/>
      <c r="F996" s="5"/>
      <c r="G996" s="5"/>
      <c r="H996" s="5"/>
      <c r="M996" s="5"/>
      <c r="N996" s="5"/>
      <c r="P996" s="5"/>
    </row>
    <row r="997" spans="2:16" ht="14.25" customHeight="1">
      <c r="B997" s="5"/>
      <c r="C997" s="5"/>
      <c r="D997" s="5"/>
      <c r="E997" s="5"/>
      <c r="F997" s="5"/>
      <c r="G997" s="5"/>
      <c r="H997" s="5"/>
      <c r="M997" s="5"/>
      <c r="N997" s="5"/>
      <c r="P997" s="5"/>
    </row>
    <row r="998" spans="2:16" ht="14.25" customHeight="1">
      <c r="B998" s="5"/>
      <c r="C998" s="5"/>
      <c r="D998" s="5"/>
      <c r="E998" s="5"/>
      <c r="F998" s="5"/>
      <c r="G998" s="5"/>
      <c r="H998" s="5"/>
      <c r="M998" s="5"/>
      <c r="N998" s="5"/>
      <c r="P998" s="5"/>
    </row>
    <row r="999" spans="2:16" ht="14.25" customHeight="1">
      <c r="B999" s="5"/>
      <c r="C999" s="5"/>
      <c r="D999" s="5"/>
      <c r="E999" s="5"/>
      <c r="F999" s="5"/>
      <c r="G999" s="5"/>
      <c r="H999" s="5"/>
      <c r="M999" s="5"/>
      <c r="N999" s="5"/>
      <c r="P999" s="5"/>
    </row>
    <row r="1000" spans="2:16" ht="14.25" customHeight="1">
      <c r="B1000" s="5"/>
      <c r="C1000" s="5"/>
      <c r="D1000" s="5"/>
      <c r="E1000" s="5"/>
      <c r="F1000" s="5"/>
      <c r="G1000" s="5"/>
      <c r="H1000" s="5"/>
      <c r="M1000" s="5"/>
      <c r="N1000" s="5"/>
      <c r="P1000" s="5"/>
    </row>
    <row r="1001" spans="2:16" ht="14.25" customHeight="1">
      <c r="B1001" s="5"/>
      <c r="C1001" s="5"/>
      <c r="D1001" s="5"/>
      <c r="E1001" s="5"/>
      <c r="F1001" s="5"/>
      <c r="G1001" s="5"/>
      <c r="H1001" s="5"/>
      <c r="M1001" s="5"/>
      <c r="N1001" s="5"/>
      <c r="P1001" s="5"/>
    </row>
  </sheetData>
  <mergeCells count="1">
    <mergeCell ref="E1:H1"/>
  </mergeCells>
  <hyperlinks>
    <hyperlink ref="B2" r:id="rId1" xr:uid="{00000000-0004-0000-0300-000000000000}"/>
    <hyperlink ref="B3" r:id="rId2" xr:uid="{00000000-0004-0000-0300-000001000000}"/>
    <hyperlink ref="B4" r:id="rId3" xr:uid="{00000000-0004-0000-0300-000002000000}"/>
    <hyperlink ref="B5" r:id="rId4" xr:uid="{00000000-0004-0000-0300-000003000000}"/>
    <hyperlink ref="B6" r:id="rId5" xr:uid="{00000000-0004-0000-0300-000004000000}"/>
    <hyperlink ref="B7" r:id="rId6" xr:uid="{00000000-0004-0000-0300-000005000000}"/>
    <hyperlink ref="B8" r:id="rId7" xr:uid="{00000000-0004-0000-0300-000006000000}"/>
    <hyperlink ref="B9" r:id="rId8" xr:uid="{00000000-0004-0000-0300-000007000000}"/>
    <hyperlink ref="B10" r:id="rId9" xr:uid="{00000000-0004-0000-0300-000008000000}"/>
    <hyperlink ref="B12" r:id="rId10" xr:uid="{00000000-0004-0000-0300-000009000000}"/>
    <hyperlink ref="B13" r:id="rId11" xr:uid="{00000000-0004-0000-0300-00000A000000}"/>
    <hyperlink ref="D16" r:id="rId12" xr:uid="{00000000-0004-0000-0300-00000B000000}"/>
    <hyperlink ref="D17" r:id="rId13" xr:uid="{00000000-0004-0000-0300-00000C000000}"/>
  </hyperlinks>
  <pageMargins left="0.7" right="0.7" top="0.75" bottom="0.75" header="0" footer="0"/>
  <pageSetup orientation="landscape"/>
  <tableParts count="1">
    <tablePart r:id="rId1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58"/>
  <sheetViews>
    <sheetView workbookViewId="0">
      <pane ySplit="1" topLeftCell="A16" activePane="bottomLeft" state="frozen"/>
      <selection pane="bottomLeft" activeCell="C2" sqref="C2:C27"/>
    </sheetView>
  </sheetViews>
  <sheetFormatPr baseColWidth="10" defaultColWidth="14.453125" defaultRowHeight="15" customHeight="1"/>
  <cols>
    <col min="1" max="1" width="14.81640625" customWidth="1"/>
    <col min="3" max="3" width="22.1796875" customWidth="1"/>
    <col min="4" max="4" width="22.81640625" customWidth="1"/>
    <col min="5" max="5" width="19.54296875" customWidth="1"/>
    <col min="6" max="6" width="18.54296875" customWidth="1"/>
    <col min="16" max="16" width="27.26953125" customWidth="1"/>
  </cols>
  <sheetData>
    <row r="1" spans="1:15" ht="22.5" customHeight="1">
      <c r="A1" s="32" t="s">
        <v>136</v>
      </c>
      <c r="B1" s="33" t="s">
        <v>137</v>
      </c>
      <c r="C1" s="33" t="s">
        <v>22</v>
      </c>
      <c r="D1" s="33" t="s">
        <v>138</v>
      </c>
      <c r="E1" s="33" t="s">
        <v>139</v>
      </c>
      <c r="F1" s="33" t="s">
        <v>140</v>
      </c>
      <c r="G1" s="33" t="s">
        <v>141</v>
      </c>
      <c r="H1" s="33" t="s">
        <v>142</v>
      </c>
      <c r="I1" s="33" t="s">
        <v>143</v>
      </c>
      <c r="J1" s="33" t="s">
        <v>144</v>
      </c>
      <c r="K1" s="33" t="s">
        <v>145</v>
      </c>
      <c r="L1" s="33" t="s">
        <v>146</v>
      </c>
      <c r="M1" s="33" t="s">
        <v>147</v>
      </c>
      <c r="N1" s="33" t="s">
        <v>148</v>
      </c>
      <c r="O1" s="34" t="s">
        <v>29</v>
      </c>
    </row>
    <row r="2" spans="1:15" ht="22.5" customHeight="1">
      <c r="A2" s="35">
        <v>1</v>
      </c>
      <c r="B2" s="36" t="s">
        <v>149</v>
      </c>
      <c r="C2" s="36" t="s">
        <v>46</v>
      </c>
      <c r="D2" s="36">
        <v>0</v>
      </c>
      <c r="E2" s="36">
        <v>4</v>
      </c>
      <c r="F2" s="36"/>
      <c r="G2" s="36">
        <v>0.59</v>
      </c>
      <c r="H2" s="36">
        <v>0.8</v>
      </c>
      <c r="I2" s="36">
        <v>5.6000000000000001E-2</v>
      </c>
      <c r="J2" s="36">
        <v>14</v>
      </c>
      <c r="K2" s="36">
        <v>307</v>
      </c>
      <c r="L2" s="36"/>
      <c r="M2" s="36">
        <v>5.3</v>
      </c>
      <c r="N2" s="36">
        <v>4.4000000000000004</v>
      </c>
      <c r="O2" s="37">
        <v>1</v>
      </c>
    </row>
    <row r="3" spans="1:15" ht="22.5" customHeight="1">
      <c r="A3" s="38">
        <v>1</v>
      </c>
      <c r="B3" s="39" t="s">
        <v>150</v>
      </c>
      <c r="C3" s="36" t="s">
        <v>46</v>
      </c>
      <c r="D3" s="39">
        <v>4</v>
      </c>
      <c r="E3" s="39">
        <v>25</v>
      </c>
      <c r="F3" s="39">
        <v>1.6</v>
      </c>
      <c r="G3" s="39">
        <v>0.51</v>
      </c>
      <c r="H3" s="39">
        <v>0.51</v>
      </c>
      <c r="I3" s="39">
        <v>0.03</v>
      </c>
      <c r="J3" s="39">
        <v>17</v>
      </c>
      <c r="K3" s="39">
        <v>245</v>
      </c>
      <c r="L3" s="39"/>
      <c r="M3" s="39">
        <v>4.8</v>
      </c>
      <c r="N3" s="39">
        <v>4.4000000000000004</v>
      </c>
      <c r="O3" s="40">
        <v>1</v>
      </c>
    </row>
    <row r="4" spans="1:15" ht="22.5" customHeight="1">
      <c r="A4" s="38">
        <v>1</v>
      </c>
      <c r="B4" s="39" t="s">
        <v>151</v>
      </c>
      <c r="C4" s="36" t="s">
        <v>46</v>
      </c>
      <c r="D4" s="39">
        <v>25</v>
      </c>
      <c r="E4" s="39">
        <v>30</v>
      </c>
      <c r="F4" s="39">
        <v>1.55</v>
      </c>
      <c r="G4" s="39">
        <v>0.42</v>
      </c>
      <c r="H4" s="39">
        <v>0.36</v>
      </c>
      <c r="I4" s="39">
        <v>0.02</v>
      </c>
      <c r="J4" s="39">
        <v>18</v>
      </c>
      <c r="K4" s="39">
        <v>267</v>
      </c>
      <c r="L4" s="39"/>
      <c r="M4" s="39">
        <v>4.9000000000000004</v>
      </c>
      <c r="N4" s="39">
        <v>4.5</v>
      </c>
      <c r="O4" s="40">
        <v>1</v>
      </c>
    </row>
    <row r="5" spans="1:15" ht="22.5" customHeight="1">
      <c r="A5" s="38">
        <v>1</v>
      </c>
      <c r="B5" s="39" t="s">
        <v>152</v>
      </c>
      <c r="C5" s="36" t="s">
        <v>46</v>
      </c>
      <c r="D5" s="39">
        <v>30</v>
      </c>
      <c r="E5" s="39">
        <v>62</v>
      </c>
      <c r="F5" s="39">
        <v>1.52</v>
      </c>
      <c r="G5" s="39">
        <v>0.44</v>
      </c>
      <c r="H5" s="39"/>
      <c r="I5" s="39"/>
      <c r="J5" s="39"/>
      <c r="K5" s="39">
        <v>156</v>
      </c>
      <c r="L5" s="39"/>
      <c r="M5" s="39">
        <v>4.8</v>
      </c>
      <c r="N5" s="39">
        <v>4.5999999999999996</v>
      </c>
      <c r="O5" s="40">
        <v>1</v>
      </c>
    </row>
    <row r="6" spans="1:15" ht="22.5" customHeight="1">
      <c r="A6" s="38">
        <v>1</v>
      </c>
      <c r="B6" s="39" t="s">
        <v>153</v>
      </c>
      <c r="C6" s="36" t="s">
        <v>46</v>
      </c>
      <c r="D6" s="39">
        <v>62</v>
      </c>
      <c r="E6" s="39">
        <v>118</v>
      </c>
      <c r="F6" s="39">
        <v>1.54</v>
      </c>
      <c r="G6" s="39">
        <v>0.11</v>
      </c>
      <c r="H6" s="39"/>
      <c r="I6" s="39"/>
      <c r="J6" s="39"/>
      <c r="K6" s="39">
        <v>87</v>
      </c>
      <c r="L6" s="39"/>
      <c r="M6" s="39">
        <v>5</v>
      </c>
      <c r="N6" s="39">
        <v>5</v>
      </c>
      <c r="O6" s="40">
        <v>1</v>
      </c>
    </row>
    <row r="7" spans="1:15" ht="22.5" customHeight="1">
      <c r="A7" s="38">
        <v>2</v>
      </c>
      <c r="B7" s="39" t="s">
        <v>154</v>
      </c>
      <c r="C7" s="36" t="s">
        <v>46</v>
      </c>
      <c r="D7" s="39">
        <v>0</v>
      </c>
      <c r="E7" s="39">
        <v>11</v>
      </c>
      <c r="F7" s="39">
        <v>1.57</v>
      </c>
      <c r="G7" s="39">
        <v>0.83</v>
      </c>
      <c r="H7" s="39">
        <v>0.98</v>
      </c>
      <c r="I7" s="39">
        <v>7.0000000000000007E-2</v>
      </c>
      <c r="J7" s="39">
        <v>14</v>
      </c>
      <c r="K7" s="39">
        <v>382</v>
      </c>
      <c r="L7" s="39">
        <v>0.3</v>
      </c>
      <c r="M7" s="39">
        <v>8.1</v>
      </c>
      <c r="N7" s="39">
        <v>7.6</v>
      </c>
      <c r="O7" s="40">
        <v>1</v>
      </c>
    </row>
    <row r="8" spans="1:15" ht="22.5" customHeight="1">
      <c r="A8" s="38">
        <v>2</v>
      </c>
      <c r="B8" s="39" t="s">
        <v>155</v>
      </c>
      <c r="C8" s="36" t="s">
        <v>46</v>
      </c>
      <c r="D8" s="39">
        <v>11</v>
      </c>
      <c r="E8" s="39">
        <v>15</v>
      </c>
      <c r="F8" s="39">
        <v>1.57</v>
      </c>
      <c r="G8" s="39">
        <v>0.22</v>
      </c>
      <c r="H8" s="39"/>
      <c r="I8" s="39"/>
      <c r="J8" s="39"/>
      <c r="K8" s="39">
        <v>121</v>
      </c>
      <c r="L8" s="39"/>
      <c r="M8" s="39">
        <v>7.9</v>
      </c>
      <c r="N8" s="39">
        <v>7</v>
      </c>
      <c r="O8" s="40">
        <v>1</v>
      </c>
    </row>
    <row r="9" spans="1:15" ht="22.5" customHeight="1">
      <c r="A9" s="38">
        <v>2</v>
      </c>
      <c r="B9" s="39" t="s">
        <v>149</v>
      </c>
      <c r="C9" s="36" t="s">
        <v>46</v>
      </c>
      <c r="D9" s="39">
        <v>15</v>
      </c>
      <c r="E9" s="39">
        <v>36</v>
      </c>
      <c r="F9" s="39">
        <v>1.63</v>
      </c>
      <c r="G9" s="39">
        <v>0.53</v>
      </c>
      <c r="H9" s="39">
        <v>0.5</v>
      </c>
      <c r="I9" s="39">
        <v>3.5000000000000003E-2</v>
      </c>
      <c r="J9" s="39">
        <v>14</v>
      </c>
      <c r="K9" s="39">
        <v>347</v>
      </c>
      <c r="L9" s="39"/>
      <c r="M9" s="39">
        <v>7.6</v>
      </c>
      <c r="N9" s="39">
        <v>6.6</v>
      </c>
      <c r="O9" s="40">
        <v>1</v>
      </c>
    </row>
    <row r="10" spans="1:15" ht="22.5" customHeight="1">
      <c r="A10" s="38">
        <v>2</v>
      </c>
      <c r="B10" s="39" t="s">
        <v>156</v>
      </c>
      <c r="C10" s="36" t="s">
        <v>46</v>
      </c>
      <c r="D10" s="39">
        <v>36</v>
      </c>
      <c r="E10" s="39">
        <v>60</v>
      </c>
      <c r="F10" s="39">
        <v>1.67</v>
      </c>
      <c r="G10" s="39">
        <v>0.32</v>
      </c>
      <c r="H10" s="39"/>
      <c r="I10" s="39"/>
      <c r="J10" s="39"/>
      <c r="K10" s="39">
        <v>137</v>
      </c>
      <c r="L10" s="39"/>
      <c r="M10" s="39">
        <v>7.4</v>
      </c>
      <c r="N10" s="39">
        <v>6.1</v>
      </c>
      <c r="O10" s="40">
        <v>1</v>
      </c>
    </row>
    <row r="11" spans="1:15" ht="22.5" customHeight="1">
      <c r="A11" s="38">
        <v>2</v>
      </c>
      <c r="B11" s="39" t="s">
        <v>153</v>
      </c>
      <c r="C11" s="36" t="s">
        <v>46</v>
      </c>
      <c r="D11" s="39">
        <v>60</v>
      </c>
      <c r="E11" s="39" t="s">
        <v>157</v>
      </c>
      <c r="F11" s="39">
        <v>1.51</v>
      </c>
      <c r="G11" s="39">
        <v>0.14000000000000001</v>
      </c>
      <c r="H11" s="39"/>
      <c r="I11" s="39"/>
      <c r="J11" s="39"/>
      <c r="K11" s="39">
        <v>80</v>
      </c>
      <c r="L11" s="39"/>
      <c r="M11" s="39">
        <v>7.2</v>
      </c>
      <c r="N11" s="39">
        <v>6</v>
      </c>
      <c r="O11" s="40">
        <v>1</v>
      </c>
    </row>
    <row r="12" spans="1:15" ht="22.5" customHeight="1">
      <c r="A12" s="38">
        <v>3</v>
      </c>
      <c r="B12" s="39" t="s">
        <v>158</v>
      </c>
      <c r="C12" s="36" t="s">
        <v>46</v>
      </c>
      <c r="D12" s="39">
        <v>0</v>
      </c>
      <c r="E12" s="39">
        <v>14</v>
      </c>
      <c r="F12" s="39">
        <v>1.62</v>
      </c>
      <c r="G12" s="39">
        <v>0.28999999999999998</v>
      </c>
      <c r="H12" s="39">
        <v>0.34</v>
      </c>
      <c r="I12" s="39">
        <v>2.1000000000000001E-2</v>
      </c>
      <c r="J12" s="39">
        <v>16</v>
      </c>
      <c r="K12" s="39">
        <v>339</v>
      </c>
      <c r="L12" s="39">
        <v>0.4</v>
      </c>
      <c r="M12" s="39">
        <v>8.1</v>
      </c>
      <c r="N12" s="39">
        <v>7.8</v>
      </c>
      <c r="O12" s="40">
        <v>1</v>
      </c>
    </row>
    <row r="13" spans="1:15" ht="22.5" customHeight="1">
      <c r="A13" s="38">
        <v>3</v>
      </c>
      <c r="B13" s="39" t="s">
        <v>149</v>
      </c>
      <c r="C13" s="36" t="s">
        <v>46</v>
      </c>
      <c r="D13" s="39">
        <v>20</v>
      </c>
      <c r="E13" s="39">
        <v>50</v>
      </c>
      <c r="F13" s="39">
        <v>1.19</v>
      </c>
      <c r="G13" s="39">
        <v>1.17</v>
      </c>
      <c r="H13" s="39">
        <v>1.62</v>
      </c>
      <c r="I13" s="39">
        <v>0.124</v>
      </c>
      <c r="J13" s="39">
        <v>13</v>
      </c>
      <c r="K13" s="39">
        <v>984</v>
      </c>
      <c r="L13" s="39">
        <v>0.4</v>
      </c>
      <c r="M13" s="39">
        <v>7.6</v>
      </c>
      <c r="N13" s="39">
        <v>7.1</v>
      </c>
      <c r="O13" s="40">
        <v>1</v>
      </c>
    </row>
    <row r="14" spans="1:15" ht="22.5" customHeight="1">
      <c r="A14" s="38">
        <v>3</v>
      </c>
      <c r="B14" s="39" t="s">
        <v>159</v>
      </c>
      <c r="C14" s="36" t="s">
        <v>46</v>
      </c>
      <c r="D14" s="39">
        <v>50</v>
      </c>
      <c r="E14" s="39">
        <v>70</v>
      </c>
      <c r="F14" s="39">
        <v>1.48</v>
      </c>
      <c r="G14" s="39">
        <v>0.24</v>
      </c>
      <c r="H14" s="39">
        <v>0.17</v>
      </c>
      <c r="I14" s="39">
        <v>1.4E-2</v>
      </c>
      <c r="J14" s="39">
        <v>12</v>
      </c>
      <c r="K14" s="39">
        <v>247</v>
      </c>
      <c r="L14" s="39">
        <v>0.3</v>
      </c>
      <c r="M14" s="39">
        <v>7.9</v>
      </c>
      <c r="N14" s="39">
        <v>7.5</v>
      </c>
      <c r="O14" s="40">
        <v>1</v>
      </c>
    </row>
    <row r="15" spans="1:15" ht="22.5" customHeight="1">
      <c r="A15" s="38">
        <v>3</v>
      </c>
      <c r="B15" s="39" t="s">
        <v>153</v>
      </c>
      <c r="C15" s="36" t="s">
        <v>46</v>
      </c>
      <c r="D15" s="39">
        <v>70</v>
      </c>
      <c r="E15" s="39">
        <v>160</v>
      </c>
      <c r="F15" s="39">
        <v>1.57</v>
      </c>
      <c r="G15" s="39">
        <v>0.14000000000000001</v>
      </c>
      <c r="H15" s="39"/>
      <c r="I15" s="39"/>
      <c r="J15" s="39"/>
      <c r="K15" s="39">
        <v>186</v>
      </c>
      <c r="L15" s="39">
        <v>0.2</v>
      </c>
      <c r="M15" s="39">
        <v>7.6</v>
      </c>
      <c r="N15" s="39">
        <v>7</v>
      </c>
      <c r="O15" s="40">
        <v>1</v>
      </c>
    </row>
    <row r="16" spans="1:15" ht="22.5" customHeight="1">
      <c r="A16" s="38">
        <v>4</v>
      </c>
      <c r="B16" s="39" t="s">
        <v>160</v>
      </c>
      <c r="C16" s="36" t="s">
        <v>46</v>
      </c>
      <c r="D16" s="39">
        <v>0</v>
      </c>
      <c r="E16" s="39">
        <v>53</v>
      </c>
      <c r="F16" s="39">
        <v>1.46</v>
      </c>
      <c r="G16" s="39">
        <v>0.61</v>
      </c>
      <c r="H16" s="39">
        <v>0.69</v>
      </c>
      <c r="I16" s="39">
        <v>4.9000000000000002E-2</v>
      </c>
      <c r="J16" s="39">
        <v>14</v>
      </c>
      <c r="K16" s="39">
        <v>472</v>
      </c>
      <c r="L16" s="39">
        <v>0.5</v>
      </c>
      <c r="M16" s="39">
        <v>8.1</v>
      </c>
      <c r="N16" s="39">
        <v>7.6</v>
      </c>
      <c r="O16" s="40">
        <v>1</v>
      </c>
    </row>
    <row r="17" spans="1:15" ht="22.5" customHeight="1">
      <c r="A17" s="38">
        <v>4</v>
      </c>
      <c r="B17" s="39" t="s">
        <v>159</v>
      </c>
      <c r="C17" s="36" t="s">
        <v>46</v>
      </c>
      <c r="D17" s="39">
        <v>53</v>
      </c>
      <c r="E17" s="39">
        <v>65</v>
      </c>
      <c r="F17" s="39">
        <v>1.66</v>
      </c>
      <c r="G17" s="39">
        <v>0.2</v>
      </c>
      <c r="H17" s="39"/>
      <c r="I17" s="39"/>
      <c r="J17" s="39"/>
      <c r="K17" s="39">
        <v>126</v>
      </c>
      <c r="L17" s="39">
        <v>0.4</v>
      </c>
      <c r="M17" s="39">
        <v>8.6</v>
      </c>
      <c r="N17" s="39">
        <v>8.3000000000000007</v>
      </c>
      <c r="O17" s="40">
        <v>1</v>
      </c>
    </row>
    <row r="18" spans="1:15" ht="22.5" customHeight="1">
      <c r="A18" s="38">
        <v>4</v>
      </c>
      <c r="B18" s="39" t="s">
        <v>153</v>
      </c>
      <c r="C18" s="36" t="s">
        <v>46</v>
      </c>
      <c r="D18" s="39">
        <v>65</v>
      </c>
      <c r="E18" s="39">
        <v>110</v>
      </c>
      <c r="F18" s="39">
        <v>1.6</v>
      </c>
      <c r="G18" s="39">
        <v>0.13</v>
      </c>
      <c r="H18" s="39"/>
      <c r="I18" s="39"/>
      <c r="J18" s="39"/>
      <c r="K18" s="39">
        <v>115</v>
      </c>
      <c r="L18" s="39">
        <v>0.2</v>
      </c>
      <c r="M18" s="39">
        <v>8</v>
      </c>
      <c r="N18" s="39">
        <v>7.3</v>
      </c>
      <c r="O18" s="40">
        <v>1</v>
      </c>
    </row>
    <row r="19" spans="1:15" ht="22.5" customHeight="1">
      <c r="A19" s="38">
        <v>4</v>
      </c>
      <c r="B19" s="39" t="s">
        <v>161</v>
      </c>
      <c r="C19" s="36" t="s">
        <v>46</v>
      </c>
      <c r="D19" s="39">
        <v>65</v>
      </c>
      <c r="E19" s="39">
        <v>110</v>
      </c>
      <c r="F19" s="39">
        <v>1.52</v>
      </c>
      <c r="G19" s="39">
        <v>0.4</v>
      </c>
      <c r="H19" s="39">
        <v>0.5</v>
      </c>
      <c r="I19" s="39">
        <v>3.5000000000000003E-2</v>
      </c>
      <c r="J19" s="39">
        <v>14</v>
      </c>
      <c r="K19" s="39">
        <v>292</v>
      </c>
      <c r="L19" s="39">
        <v>0.4</v>
      </c>
      <c r="M19" s="39">
        <v>7.8</v>
      </c>
      <c r="N19" s="39">
        <v>7.4</v>
      </c>
      <c r="O19" s="40">
        <v>1</v>
      </c>
    </row>
    <row r="20" spans="1:15" ht="22.5" customHeight="1">
      <c r="A20" s="38">
        <v>5</v>
      </c>
      <c r="B20" s="39" t="s">
        <v>149</v>
      </c>
      <c r="C20" s="36" t="s">
        <v>46</v>
      </c>
      <c r="D20" s="39">
        <v>0</v>
      </c>
      <c r="E20" s="39">
        <v>20</v>
      </c>
      <c r="F20" s="39">
        <v>1.35</v>
      </c>
      <c r="G20" s="39">
        <v>0.7</v>
      </c>
      <c r="H20" s="39">
        <v>0.84</v>
      </c>
      <c r="I20" s="39">
        <v>0.06</v>
      </c>
      <c r="J20" s="39">
        <v>14</v>
      </c>
      <c r="K20" s="39">
        <v>468</v>
      </c>
      <c r="L20" s="39">
        <v>0.8</v>
      </c>
      <c r="M20" s="39">
        <v>7.7</v>
      </c>
      <c r="N20" s="39">
        <v>7.4</v>
      </c>
      <c r="O20" s="40">
        <v>1</v>
      </c>
    </row>
    <row r="21" spans="1:15" ht="22.5" customHeight="1">
      <c r="A21" s="38">
        <v>5</v>
      </c>
      <c r="B21" s="39" t="s">
        <v>158</v>
      </c>
      <c r="C21" s="36" t="s">
        <v>46</v>
      </c>
      <c r="D21" s="39">
        <v>20</v>
      </c>
      <c r="E21" s="39">
        <v>33</v>
      </c>
      <c r="F21" s="39">
        <v>1.33</v>
      </c>
      <c r="G21" s="39">
        <v>0.63</v>
      </c>
      <c r="H21" s="39">
        <v>0.62</v>
      </c>
      <c r="I21" s="39">
        <v>5.0999999999999997E-2</v>
      </c>
      <c r="J21" s="39">
        <v>12</v>
      </c>
      <c r="K21" s="39">
        <v>524</v>
      </c>
      <c r="L21" s="39">
        <v>1</v>
      </c>
      <c r="M21" s="39">
        <v>7.7</v>
      </c>
      <c r="N21" s="39">
        <v>7.3</v>
      </c>
      <c r="O21" s="40">
        <v>1</v>
      </c>
    </row>
    <row r="22" spans="1:15" ht="22.5" customHeight="1">
      <c r="A22" s="38">
        <v>5</v>
      </c>
      <c r="B22" s="39" t="s">
        <v>162</v>
      </c>
      <c r="C22" s="36" t="s">
        <v>46</v>
      </c>
      <c r="D22" s="39">
        <v>33</v>
      </c>
      <c r="E22" s="39">
        <v>70</v>
      </c>
      <c r="F22" s="39">
        <v>1.38</v>
      </c>
      <c r="G22" s="39">
        <v>0.63</v>
      </c>
      <c r="H22" s="39">
        <v>0.43</v>
      </c>
      <c r="I22" s="39">
        <v>3.9E-2</v>
      </c>
      <c r="J22" s="39">
        <v>11</v>
      </c>
      <c r="K22" s="39">
        <v>361</v>
      </c>
      <c r="L22" s="39">
        <v>0.9</v>
      </c>
      <c r="M22" s="39">
        <v>7.9</v>
      </c>
      <c r="N22" s="39">
        <v>7.4</v>
      </c>
      <c r="O22" s="40">
        <v>1</v>
      </c>
    </row>
    <row r="23" spans="1:15" ht="22.5" customHeight="1">
      <c r="A23" s="38">
        <v>5</v>
      </c>
      <c r="B23" s="39" t="s">
        <v>163</v>
      </c>
      <c r="C23" s="36" t="s">
        <v>46</v>
      </c>
      <c r="D23" s="39">
        <v>70</v>
      </c>
      <c r="E23" s="39">
        <v>87</v>
      </c>
      <c r="F23" s="39">
        <v>1.47</v>
      </c>
      <c r="G23" s="39">
        <v>0.5</v>
      </c>
      <c r="H23" s="39">
        <v>0.44</v>
      </c>
      <c r="I23" s="39">
        <v>0.04</v>
      </c>
      <c r="J23" s="39">
        <v>11</v>
      </c>
      <c r="K23" s="39">
        <v>390</v>
      </c>
      <c r="L23" s="39">
        <v>1</v>
      </c>
      <c r="M23" s="39">
        <v>8</v>
      </c>
      <c r="N23" s="39">
        <v>7.5</v>
      </c>
      <c r="O23" s="40">
        <v>1</v>
      </c>
    </row>
    <row r="24" spans="1:15" ht="22.5" customHeight="1">
      <c r="A24" s="38">
        <v>5</v>
      </c>
      <c r="B24" s="39" t="s">
        <v>164</v>
      </c>
      <c r="C24" s="36" t="s">
        <v>46</v>
      </c>
      <c r="D24" s="39">
        <v>87</v>
      </c>
      <c r="E24" s="39">
        <v>110</v>
      </c>
      <c r="F24" s="39">
        <v>1.54</v>
      </c>
      <c r="G24" s="39">
        <v>0.57999999999999996</v>
      </c>
      <c r="H24" s="39">
        <v>0.47</v>
      </c>
      <c r="I24" s="39">
        <v>4.3999999999999997E-2</v>
      </c>
      <c r="J24" s="39">
        <v>11</v>
      </c>
      <c r="K24" s="39">
        <v>372</v>
      </c>
      <c r="L24" s="39">
        <v>0.7</v>
      </c>
      <c r="M24" s="39">
        <v>7.9</v>
      </c>
      <c r="N24" s="39">
        <v>7.3</v>
      </c>
      <c r="O24" s="40">
        <v>1</v>
      </c>
    </row>
    <row r="25" spans="1:15" ht="22.5" customHeight="1">
      <c r="A25" s="38">
        <v>6</v>
      </c>
      <c r="B25" s="39" t="s">
        <v>149</v>
      </c>
      <c r="C25" s="36" t="s">
        <v>46</v>
      </c>
      <c r="D25" s="39">
        <v>0</v>
      </c>
      <c r="E25" s="39">
        <v>60</v>
      </c>
      <c r="F25" s="39">
        <v>1.38</v>
      </c>
      <c r="G25" s="39">
        <v>0.64</v>
      </c>
      <c r="H25" s="39">
        <v>0.93</v>
      </c>
      <c r="I25" s="39">
        <v>6.8000000000000005E-2</v>
      </c>
      <c r="J25" s="39">
        <v>14</v>
      </c>
      <c r="K25" s="39">
        <v>580</v>
      </c>
      <c r="L25" s="39"/>
      <c r="M25" s="39">
        <v>7.2</v>
      </c>
      <c r="N25" s="39">
        <v>6.8</v>
      </c>
      <c r="O25" s="40">
        <v>1</v>
      </c>
    </row>
    <row r="26" spans="1:15" ht="22.5" customHeight="1">
      <c r="A26" s="38">
        <v>6</v>
      </c>
      <c r="B26" s="39" t="s">
        <v>159</v>
      </c>
      <c r="C26" s="36" t="s">
        <v>46</v>
      </c>
      <c r="D26" s="39">
        <v>60</v>
      </c>
      <c r="E26" s="39">
        <v>85</v>
      </c>
      <c r="F26" s="39">
        <v>1.49</v>
      </c>
      <c r="G26" s="39">
        <v>0.53</v>
      </c>
      <c r="H26" s="39">
        <v>0.78</v>
      </c>
      <c r="I26" s="39">
        <v>5.2999999999999999E-2</v>
      </c>
      <c r="J26" s="39">
        <v>15</v>
      </c>
      <c r="K26" s="39">
        <v>372</v>
      </c>
      <c r="L26" s="39"/>
      <c r="M26" s="39">
        <v>7.1</v>
      </c>
      <c r="N26" s="39">
        <v>6.5</v>
      </c>
      <c r="O26" s="40">
        <v>1</v>
      </c>
    </row>
    <row r="27" spans="1:15" ht="22.5" customHeight="1">
      <c r="A27" s="38">
        <v>6</v>
      </c>
      <c r="B27" s="39" t="s">
        <v>153</v>
      </c>
      <c r="C27" s="36" t="s">
        <v>46</v>
      </c>
      <c r="D27" s="39">
        <v>90</v>
      </c>
      <c r="E27" s="39">
        <v>100</v>
      </c>
      <c r="F27" s="39">
        <v>1.49</v>
      </c>
      <c r="G27" s="39">
        <v>0.44</v>
      </c>
      <c r="H27" s="39">
        <v>0.48</v>
      </c>
      <c r="I27" s="39">
        <v>3.7999999999999999E-2</v>
      </c>
      <c r="J27" s="39">
        <v>13</v>
      </c>
      <c r="K27" s="39">
        <v>352</v>
      </c>
      <c r="L27" s="39"/>
      <c r="M27" s="39">
        <v>7.3</v>
      </c>
      <c r="N27" s="39">
        <v>6.7</v>
      </c>
      <c r="O27" s="40">
        <v>1</v>
      </c>
    </row>
    <row r="28" spans="1:15" ht="22.5" hidden="1" customHeight="1">
      <c r="A28" s="41">
        <v>7</v>
      </c>
      <c r="B28" s="42" t="s">
        <v>158</v>
      </c>
      <c r="C28" s="42"/>
      <c r="D28" s="42">
        <v>0</v>
      </c>
      <c r="E28" s="42">
        <v>53</v>
      </c>
      <c r="F28" s="42"/>
      <c r="G28" s="42"/>
      <c r="H28" s="42"/>
      <c r="I28" s="42"/>
      <c r="J28" s="42"/>
      <c r="K28" s="42"/>
      <c r="L28" s="42"/>
      <c r="M28" s="42"/>
      <c r="N28" s="42"/>
      <c r="O28" s="43">
        <v>2</v>
      </c>
    </row>
    <row r="29" spans="1:15" ht="22.5" hidden="1" customHeight="1">
      <c r="A29" s="41">
        <v>7</v>
      </c>
      <c r="B29" s="42" t="s">
        <v>162</v>
      </c>
      <c r="C29" s="42"/>
      <c r="D29" s="42">
        <v>53</v>
      </c>
      <c r="E29" s="42">
        <v>77</v>
      </c>
      <c r="F29" s="42"/>
      <c r="G29" s="42"/>
      <c r="H29" s="42"/>
      <c r="I29" s="42"/>
      <c r="J29" s="42"/>
      <c r="K29" s="42"/>
      <c r="L29" s="42"/>
      <c r="M29" s="42"/>
      <c r="N29" s="42"/>
      <c r="O29" s="43">
        <v>2</v>
      </c>
    </row>
    <row r="30" spans="1:15" ht="22.5" hidden="1" customHeight="1">
      <c r="A30" s="41">
        <v>8</v>
      </c>
      <c r="B30" s="42" t="s">
        <v>158</v>
      </c>
      <c r="C30" s="42"/>
      <c r="D30" s="42">
        <v>0</v>
      </c>
      <c r="E30" s="42">
        <v>15</v>
      </c>
      <c r="F30" s="42"/>
      <c r="G30" s="42"/>
      <c r="H30" s="42"/>
      <c r="I30" s="42"/>
      <c r="J30" s="42"/>
      <c r="K30" s="42"/>
      <c r="L30" s="42"/>
      <c r="M30" s="42"/>
      <c r="N30" s="42"/>
      <c r="O30" s="43">
        <v>2</v>
      </c>
    </row>
    <row r="31" spans="1:15" ht="22.5" hidden="1" customHeight="1">
      <c r="A31" s="41">
        <v>8</v>
      </c>
      <c r="B31" s="42" t="s">
        <v>163</v>
      </c>
      <c r="C31" s="42"/>
      <c r="D31" s="42">
        <v>15</v>
      </c>
      <c r="E31" s="42">
        <v>40</v>
      </c>
      <c r="F31" s="42"/>
      <c r="G31" s="42"/>
      <c r="H31" s="42"/>
      <c r="I31" s="42"/>
      <c r="J31" s="42"/>
      <c r="K31" s="42"/>
      <c r="L31" s="42"/>
      <c r="M31" s="42"/>
      <c r="N31" s="42"/>
      <c r="O31" s="43">
        <v>2</v>
      </c>
    </row>
    <row r="32" spans="1:15" ht="22.5" hidden="1" customHeight="1">
      <c r="A32" s="41">
        <v>8</v>
      </c>
      <c r="B32" s="42" t="s">
        <v>164</v>
      </c>
      <c r="C32" s="42"/>
      <c r="D32" s="42">
        <v>40</v>
      </c>
      <c r="E32" s="42">
        <v>95</v>
      </c>
      <c r="F32" s="42"/>
      <c r="G32" s="42"/>
      <c r="H32" s="42"/>
      <c r="I32" s="42"/>
      <c r="J32" s="42"/>
      <c r="K32" s="42"/>
      <c r="L32" s="42"/>
      <c r="M32" s="42"/>
      <c r="N32" s="42"/>
      <c r="O32" s="43">
        <v>2</v>
      </c>
    </row>
    <row r="33" spans="1:15" ht="22.5" hidden="1" customHeight="1">
      <c r="A33" s="41">
        <v>9</v>
      </c>
      <c r="B33" s="42" t="s">
        <v>158</v>
      </c>
      <c r="C33" s="42"/>
      <c r="D33" s="42">
        <v>0</v>
      </c>
      <c r="E33" s="42">
        <v>18</v>
      </c>
      <c r="F33" s="42"/>
      <c r="G33" s="42"/>
      <c r="H33" s="42"/>
      <c r="I33" s="42"/>
      <c r="J33" s="42"/>
      <c r="K33" s="42"/>
      <c r="L33" s="42"/>
      <c r="M33" s="42"/>
      <c r="N33" s="42"/>
      <c r="O33" s="43">
        <v>2</v>
      </c>
    </row>
    <row r="34" spans="1:15" ht="22.5" hidden="1" customHeight="1">
      <c r="A34" s="41">
        <v>9</v>
      </c>
      <c r="B34" s="42" t="s">
        <v>162</v>
      </c>
      <c r="C34" s="42"/>
      <c r="D34" s="42">
        <v>18</v>
      </c>
      <c r="E34" s="42">
        <v>55</v>
      </c>
      <c r="F34" s="42"/>
      <c r="G34" s="42"/>
      <c r="H34" s="42"/>
      <c r="I34" s="42"/>
      <c r="J34" s="42"/>
      <c r="K34" s="42"/>
      <c r="L34" s="42"/>
      <c r="M34" s="42"/>
      <c r="N34" s="42"/>
      <c r="O34" s="43">
        <v>2</v>
      </c>
    </row>
    <row r="35" spans="1:15" ht="22.5" hidden="1" customHeight="1">
      <c r="A35" s="41">
        <v>9</v>
      </c>
      <c r="B35" s="42" t="s">
        <v>163</v>
      </c>
      <c r="C35" s="42"/>
      <c r="D35" s="42">
        <v>55</v>
      </c>
      <c r="E35" s="42">
        <v>110</v>
      </c>
      <c r="F35" s="42"/>
      <c r="G35" s="42"/>
      <c r="H35" s="42"/>
      <c r="I35" s="42"/>
      <c r="J35" s="42"/>
      <c r="K35" s="42"/>
      <c r="L35" s="42"/>
      <c r="M35" s="42"/>
      <c r="N35" s="42"/>
      <c r="O35" s="43">
        <v>2</v>
      </c>
    </row>
    <row r="36" spans="1:15" ht="22.5" hidden="1" customHeight="1">
      <c r="A36" s="41">
        <v>9</v>
      </c>
      <c r="B36" s="42" t="s">
        <v>164</v>
      </c>
      <c r="C36" s="42"/>
      <c r="D36" s="42">
        <v>110</v>
      </c>
      <c r="E36" s="42">
        <v>220</v>
      </c>
      <c r="F36" s="42"/>
      <c r="G36" s="42"/>
      <c r="H36" s="42"/>
      <c r="I36" s="42"/>
      <c r="J36" s="42"/>
      <c r="K36" s="42"/>
      <c r="L36" s="42"/>
      <c r="M36" s="42"/>
      <c r="N36" s="42"/>
      <c r="O36" s="43">
        <v>2</v>
      </c>
    </row>
    <row r="37" spans="1:15" ht="22.5" hidden="1" customHeight="1">
      <c r="A37" s="41">
        <v>10</v>
      </c>
      <c r="B37" s="42" t="s">
        <v>158</v>
      </c>
      <c r="C37" s="42"/>
      <c r="D37" s="42">
        <v>0</v>
      </c>
      <c r="E37" s="42">
        <v>20</v>
      </c>
      <c r="F37" s="42"/>
      <c r="G37" s="42"/>
      <c r="H37" s="42"/>
      <c r="I37" s="42"/>
      <c r="J37" s="42"/>
      <c r="K37" s="42"/>
      <c r="L37" s="42"/>
      <c r="M37" s="42"/>
      <c r="N37" s="42"/>
      <c r="O37" s="43">
        <v>2</v>
      </c>
    </row>
    <row r="38" spans="1:15" ht="22.5" hidden="1" customHeight="1">
      <c r="A38" s="41">
        <v>10</v>
      </c>
      <c r="B38" s="42" t="s">
        <v>163</v>
      </c>
      <c r="C38" s="42"/>
      <c r="D38" s="42">
        <v>22</v>
      </c>
      <c r="E38" s="42">
        <v>40</v>
      </c>
      <c r="F38" s="42"/>
      <c r="G38" s="42"/>
      <c r="H38" s="42"/>
      <c r="I38" s="42"/>
      <c r="J38" s="42"/>
      <c r="K38" s="42"/>
      <c r="L38" s="42"/>
      <c r="M38" s="42"/>
      <c r="N38" s="42"/>
      <c r="O38" s="43">
        <v>2</v>
      </c>
    </row>
    <row r="39" spans="1:15" ht="22.5" hidden="1" customHeight="1">
      <c r="A39" s="41">
        <v>10</v>
      </c>
      <c r="B39" s="42" t="s">
        <v>164</v>
      </c>
      <c r="C39" s="42"/>
      <c r="D39" s="42">
        <v>40</v>
      </c>
      <c r="E39" s="42">
        <v>45</v>
      </c>
      <c r="F39" s="42"/>
      <c r="G39" s="42"/>
      <c r="H39" s="42"/>
      <c r="I39" s="42"/>
      <c r="J39" s="42"/>
      <c r="K39" s="42"/>
      <c r="L39" s="42"/>
      <c r="M39" s="42"/>
      <c r="N39" s="42"/>
      <c r="O39" s="43">
        <v>2</v>
      </c>
    </row>
    <row r="40" spans="1:15" ht="22.5" hidden="1" customHeight="1">
      <c r="A40" s="41">
        <v>10</v>
      </c>
      <c r="B40" s="42" t="s">
        <v>165</v>
      </c>
      <c r="C40" s="42"/>
      <c r="D40" s="42">
        <v>40</v>
      </c>
      <c r="E40" s="42">
        <v>45</v>
      </c>
      <c r="F40" s="42"/>
      <c r="G40" s="42"/>
      <c r="H40" s="42"/>
      <c r="I40" s="42"/>
      <c r="J40" s="42"/>
      <c r="K40" s="42"/>
      <c r="L40" s="42"/>
      <c r="M40" s="42"/>
      <c r="N40" s="42"/>
      <c r="O40" s="43">
        <v>2</v>
      </c>
    </row>
    <row r="41" spans="1:15" ht="22.5" hidden="1" customHeight="1">
      <c r="A41" s="41">
        <v>10</v>
      </c>
      <c r="B41" s="42" t="s">
        <v>166</v>
      </c>
      <c r="C41" s="42"/>
      <c r="D41" s="42">
        <v>45</v>
      </c>
      <c r="E41" s="42">
        <v>250</v>
      </c>
      <c r="F41" s="42"/>
      <c r="G41" s="42"/>
      <c r="H41" s="42"/>
      <c r="I41" s="42"/>
      <c r="J41" s="42"/>
      <c r="K41" s="42"/>
      <c r="L41" s="42"/>
      <c r="M41" s="42"/>
      <c r="N41" s="42"/>
      <c r="O41" s="43">
        <v>2</v>
      </c>
    </row>
    <row r="42" spans="1:15" ht="22.5" hidden="1" customHeight="1">
      <c r="A42" s="41">
        <v>11</v>
      </c>
      <c r="B42" s="42" t="s">
        <v>158</v>
      </c>
      <c r="C42" s="42"/>
      <c r="D42" s="42">
        <v>0</v>
      </c>
      <c r="E42" s="42">
        <v>15</v>
      </c>
      <c r="F42" s="42"/>
      <c r="G42" s="42"/>
      <c r="H42" s="42"/>
      <c r="I42" s="42"/>
      <c r="J42" s="42"/>
      <c r="K42" s="42"/>
      <c r="L42" s="42"/>
      <c r="M42" s="42"/>
      <c r="N42" s="42"/>
      <c r="O42" s="43">
        <v>2</v>
      </c>
    </row>
    <row r="43" spans="1:15" ht="22.5" hidden="1" customHeight="1">
      <c r="A43" s="41">
        <v>11</v>
      </c>
      <c r="B43" s="42" t="s">
        <v>162</v>
      </c>
      <c r="C43" s="42"/>
      <c r="D43" s="42">
        <v>15</v>
      </c>
      <c r="E43" s="42">
        <v>45</v>
      </c>
      <c r="F43" s="42"/>
      <c r="G43" s="42"/>
      <c r="H43" s="42"/>
      <c r="I43" s="42"/>
      <c r="J43" s="42"/>
      <c r="K43" s="42"/>
      <c r="L43" s="42"/>
      <c r="M43" s="42"/>
      <c r="N43" s="42"/>
      <c r="O43" s="43">
        <v>2</v>
      </c>
    </row>
    <row r="44" spans="1:15" ht="22.5" hidden="1" customHeight="1">
      <c r="A44" s="41">
        <v>11</v>
      </c>
      <c r="B44" s="42" t="s">
        <v>164</v>
      </c>
      <c r="C44" s="42"/>
      <c r="D44" s="42">
        <v>45</v>
      </c>
      <c r="E44" s="42">
        <v>55</v>
      </c>
      <c r="F44" s="42"/>
      <c r="G44" s="42"/>
      <c r="H44" s="42"/>
      <c r="I44" s="42"/>
      <c r="J44" s="42"/>
      <c r="K44" s="42"/>
      <c r="L44" s="42"/>
      <c r="M44" s="42"/>
      <c r="N44" s="42"/>
      <c r="O44" s="43">
        <v>2</v>
      </c>
    </row>
    <row r="45" spans="1:15" ht="22.5" hidden="1" customHeight="1">
      <c r="A45" s="41">
        <v>11</v>
      </c>
      <c r="B45" s="42" t="s">
        <v>166</v>
      </c>
      <c r="C45" s="42"/>
      <c r="D45" s="42">
        <v>115</v>
      </c>
      <c r="E45" s="42">
        <v>180</v>
      </c>
      <c r="F45" s="42"/>
      <c r="G45" s="42"/>
      <c r="H45" s="42"/>
      <c r="I45" s="42"/>
      <c r="J45" s="42"/>
      <c r="K45" s="42"/>
      <c r="L45" s="42"/>
      <c r="M45" s="42"/>
      <c r="N45" s="42"/>
      <c r="O45" s="43">
        <v>2</v>
      </c>
    </row>
    <row r="46" spans="1:15" ht="22.5" hidden="1" customHeight="1">
      <c r="A46" s="41">
        <v>11</v>
      </c>
      <c r="B46" s="42" t="s">
        <v>167</v>
      </c>
      <c r="C46" s="42"/>
      <c r="D46" s="42">
        <v>180</v>
      </c>
      <c r="E46" s="42">
        <v>385</v>
      </c>
      <c r="F46" s="42"/>
      <c r="G46" s="42"/>
      <c r="H46" s="42"/>
      <c r="I46" s="42"/>
      <c r="J46" s="42"/>
      <c r="K46" s="42"/>
      <c r="L46" s="42"/>
      <c r="M46" s="42"/>
      <c r="N46" s="42"/>
      <c r="O46" s="43">
        <v>2</v>
      </c>
    </row>
    <row r="47" spans="1:15" ht="22.5" hidden="1" customHeight="1">
      <c r="A47" s="41">
        <v>11</v>
      </c>
      <c r="B47" s="42" t="s">
        <v>168</v>
      </c>
      <c r="C47" s="42"/>
      <c r="D47" s="42">
        <v>283</v>
      </c>
      <c r="E47" s="42">
        <v>293</v>
      </c>
      <c r="F47" s="42"/>
      <c r="G47" s="42"/>
      <c r="H47" s="42"/>
      <c r="I47" s="42"/>
      <c r="J47" s="42"/>
      <c r="K47" s="42"/>
      <c r="L47" s="42"/>
      <c r="M47" s="42"/>
      <c r="N47" s="42"/>
      <c r="O47" s="43">
        <v>2</v>
      </c>
    </row>
    <row r="48" spans="1:15" ht="22.5" hidden="1" customHeight="1">
      <c r="A48" s="44">
        <v>12</v>
      </c>
      <c r="B48" s="42" t="s">
        <v>158</v>
      </c>
      <c r="C48" s="42"/>
      <c r="D48" s="42">
        <v>0</v>
      </c>
      <c r="E48" s="42">
        <v>8</v>
      </c>
      <c r="F48" s="42"/>
      <c r="G48" s="42"/>
      <c r="H48" s="42"/>
      <c r="I48" s="42"/>
      <c r="J48" s="42"/>
      <c r="K48" s="42"/>
      <c r="L48" s="42"/>
      <c r="M48" s="42"/>
      <c r="N48" s="42"/>
      <c r="O48" s="43">
        <v>2</v>
      </c>
    </row>
    <row r="49" spans="1:15" ht="22.5" hidden="1" customHeight="1">
      <c r="A49" s="44">
        <v>12</v>
      </c>
      <c r="B49" s="41" t="s">
        <v>162</v>
      </c>
      <c r="C49" s="41"/>
      <c r="D49" s="42">
        <v>8</v>
      </c>
      <c r="E49" s="42">
        <v>80</v>
      </c>
      <c r="F49" s="42"/>
      <c r="G49" s="42"/>
      <c r="H49" s="42"/>
      <c r="I49" s="42"/>
      <c r="J49" s="42"/>
      <c r="K49" s="42"/>
      <c r="L49" s="42"/>
      <c r="M49" s="42"/>
      <c r="N49" s="42"/>
      <c r="O49" s="43">
        <v>2</v>
      </c>
    </row>
    <row r="50" spans="1:15" ht="22.5" hidden="1" customHeight="1">
      <c r="A50" s="44">
        <v>12</v>
      </c>
      <c r="B50" s="41" t="s">
        <v>162</v>
      </c>
      <c r="C50" s="41"/>
      <c r="D50" s="42">
        <v>8</v>
      </c>
      <c r="E50" s="42">
        <v>80</v>
      </c>
      <c r="F50" s="42"/>
      <c r="G50" s="42"/>
      <c r="H50" s="42"/>
      <c r="I50" s="42"/>
      <c r="J50" s="42"/>
      <c r="K50" s="42"/>
      <c r="L50" s="42"/>
      <c r="M50" s="42"/>
      <c r="N50" s="42"/>
      <c r="O50" s="43">
        <v>2</v>
      </c>
    </row>
    <row r="51" spans="1:15" ht="22.5" hidden="1" customHeight="1">
      <c r="A51" s="41">
        <v>12</v>
      </c>
      <c r="B51" s="42" t="s">
        <v>164</v>
      </c>
      <c r="C51" s="42"/>
      <c r="D51" s="42">
        <v>80</v>
      </c>
      <c r="E51" s="42">
        <v>150</v>
      </c>
      <c r="F51" s="42"/>
      <c r="G51" s="42"/>
      <c r="H51" s="42"/>
      <c r="I51" s="42"/>
      <c r="J51" s="42"/>
      <c r="K51" s="42"/>
      <c r="L51" s="42"/>
      <c r="M51" s="42"/>
      <c r="N51" s="42"/>
      <c r="O51" s="43">
        <v>2</v>
      </c>
    </row>
    <row r="52" spans="1:15" ht="22.5" hidden="1" customHeight="1">
      <c r="A52" s="41">
        <v>13</v>
      </c>
      <c r="B52" s="42" t="s">
        <v>158</v>
      </c>
      <c r="C52" s="42"/>
      <c r="D52" s="42">
        <v>0</v>
      </c>
      <c r="E52" s="42">
        <v>15</v>
      </c>
      <c r="F52" s="42"/>
      <c r="G52" s="42"/>
      <c r="H52" s="42"/>
      <c r="I52" s="42"/>
      <c r="J52" s="42"/>
      <c r="K52" s="42"/>
      <c r="L52" s="42"/>
      <c r="M52" s="42"/>
      <c r="N52" s="42"/>
      <c r="O52" s="43">
        <v>2</v>
      </c>
    </row>
    <row r="53" spans="1:15" ht="22.5" hidden="1" customHeight="1">
      <c r="A53" s="41">
        <v>13</v>
      </c>
      <c r="B53" s="42" t="s">
        <v>162</v>
      </c>
      <c r="C53" s="42"/>
      <c r="D53" s="42">
        <v>15</v>
      </c>
      <c r="E53" s="42">
        <v>30</v>
      </c>
      <c r="F53" s="42"/>
      <c r="G53" s="42"/>
      <c r="H53" s="42"/>
      <c r="I53" s="42"/>
      <c r="J53" s="42"/>
      <c r="K53" s="42"/>
      <c r="L53" s="42"/>
      <c r="M53" s="42"/>
      <c r="N53" s="42"/>
      <c r="O53" s="43">
        <v>2</v>
      </c>
    </row>
    <row r="54" spans="1:15" ht="22.5" hidden="1" customHeight="1">
      <c r="A54" s="41">
        <v>13</v>
      </c>
      <c r="B54" s="42" t="s">
        <v>163</v>
      </c>
      <c r="C54" s="42"/>
      <c r="D54" s="42">
        <v>30</v>
      </c>
      <c r="E54" s="42">
        <v>39</v>
      </c>
      <c r="F54" s="42"/>
      <c r="G54" s="42"/>
      <c r="H54" s="42"/>
      <c r="I54" s="42"/>
      <c r="J54" s="42"/>
      <c r="K54" s="42"/>
      <c r="L54" s="42"/>
      <c r="M54" s="42"/>
      <c r="N54" s="42"/>
      <c r="O54" s="43">
        <v>2</v>
      </c>
    </row>
    <row r="55" spans="1:15" ht="22.5" hidden="1" customHeight="1">
      <c r="A55" s="41">
        <v>13</v>
      </c>
      <c r="B55" s="42" t="s">
        <v>164</v>
      </c>
      <c r="C55" s="42"/>
      <c r="D55" s="42">
        <v>39</v>
      </c>
      <c r="E55" s="42">
        <v>65</v>
      </c>
      <c r="F55" s="42"/>
      <c r="G55" s="42"/>
      <c r="H55" s="42"/>
      <c r="I55" s="42"/>
      <c r="J55" s="42"/>
      <c r="K55" s="42"/>
      <c r="L55" s="42"/>
      <c r="M55" s="42"/>
      <c r="N55" s="42"/>
      <c r="O55" s="43">
        <v>2</v>
      </c>
    </row>
    <row r="56" spans="1:15" ht="22.5" hidden="1" customHeight="1">
      <c r="A56" s="41">
        <v>13</v>
      </c>
      <c r="B56" s="42" t="s">
        <v>165</v>
      </c>
      <c r="C56" s="42"/>
      <c r="D56" s="42">
        <v>65</v>
      </c>
      <c r="E56" s="42">
        <v>95</v>
      </c>
      <c r="F56" s="42"/>
      <c r="G56" s="42"/>
      <c r="H56" s="42"/>
      <c r="I56" s="42"/>
      <c r="J56" s="42"/>
      <c r="K56" s="42"/>
      <c r="L56" s="42"/>
      <c r="M56" s="42"/>
      <c r="N56" s="42"/>
      <c r="O56" s="43">
        <v>2</v>
      </c>
    </row>
    <row r="57" spans="1:15" ht="22.5" hidden="1" customHeight="1">
      <c r="A57" s="41">
        <v>13</v>
      </c>
      <c r="B57" s="42" t="s">
        <v>166</v>
      </c>
      <c r="C57" s="42"/>
      <c r="D57" s="42">
        <v>95</v>
      </c>
      <c r="E57" s="42">
        <v>140</v>
      </c>
      <c r="F57" s="42"/>
      <c r="G57" s="42"/>
      <c r="H57" s="42"/>
      <c r="I57" s="42"/>
      <c r="J57" s="42"/>
      <c r="K57" s="42"/>
      <c r="L57" s="42"/>
      <c r="M57" s="42"/>
      <c r="N57" s="42"/>
      <c r="O57" s="43">
        <v>2</v>
      </c>
    </row>
    <row r="58" spans="1:15" ht="22.5" hidden="1" customHeight="1">
      <c r="A58" s="44">
        <v>13</v>
      </c>
      <c r="B58" s="45" t="s">
        <v>167</v>
      </c>
      <c r="C58" s="45"/>
      <c r="D58" s="45">
        <v>140</v>
      </c>
      <c r="E58" s="45">
        <v>150</v>
      </c>
      <c r="F58" s="45"/>
      <c r="G58" s="45"/>
      <c r="H58" s="45"/>
      <c r="I58" s="45"/>
      <c r="J58" s="45"/>
      <c r="K58" s="45"/>
      <c r="L58" s="45"/>
      <c r="M58" s="45"/>
      <c r="N58" s="45"/>
      <c r="O58" s="43">
        <v>2</v>
      </c>
    </row>
  </sheetData>
  <dataValidations count="1">
    <dataValidation type="custom" allowBlank="1" showDropDown="1" sqref="A2:A58 D2:N58" xr:uid="{00000000-0002-0000-0400-000000000000}">
      <formula1>AND(ISNUMBER(A2),(NOT(OR(NOT(ISERROR(DATEVALUE(A2))), AND(ISNUMBER(A2), LEFT(CELL("format", A2))="D")))))</formula1>
    </dataValidation>
  </dataValidations>
  <pageMargins left="0" right="0" top="0" bottom="0" header="0" footer="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9"/>
  <sheetViews>
    <sheetView workbookViewId="0">
      <selection activeCell="F12" sqref="F12"/>
    </sheetView>
  </sheetViews>
  <sheetFormatPr baseColWidth="10" defaultColWidth="14.453125" defaultRowHeight="15" customHeight="1"/>
  <cols>
    <col min="3" max="3" width="20.81640625" customWidth="1"/>
    <col min="4" max="4" width="18.81640625" customWidth="1"/>
  </cols>
  <sheetData>
    <row r="1" spans="1:4" ht="22.5" customHeight="1">
      <c r="A1" s="46" t="s">
        <v>136</v>
      </c>
      <c r="B1" s="47" t="s">
        <v>137</v>
      </c>
      <c r="C1" s="47" t="s">
        <v>169</v>
      </c>
      <c r="D1" s="48" t="s">
        <v>170</v>
      </c>
    </row>
    <row r="2" spans="1:4" ht="22.5" customHeight="1">
      <c r="A2" s="35">
        <v>3</v>
      </c>
      <c r="B2" s="36" t="s">
        <v>158</v>
      </c>
      <c r="C2" s="36" t="s">
        <v>171</v>
      </c>
      <c r="D2" s="49">
        <v>37</v>
      </c>
    </row>
    <row r="3" spans="1:4" ht="22.5" customHeight="1">
      <c r="A3" s="38">
        <v>3</v>
      </c>
      <c r="B3" s="39" t="s">
        <v>158</v>
      </c>
      <c r="C3" s="39" t="s">
        <v>40</v>
      </c>
      <c r="D3" s="50">
        <v>31</v>
      </c>
    </row>
    <row r="4" spans="1:4" ht="22.5" customHeight="1">
      <c r="A4" s="38">
        <v>3</v>
      </c>
      <c r="B4" s="39" t="s">
        <v>158</v>
      </c>
      <c r="C4" s="39" t="s">
        <v>172</v>
      </c>
      <c r="D4" s="50">
        <v>13</v>
      </c>
    </row>
    <row r="5" spans="1:4" ht="22.5" customHeight="1">
      <c r="A5" s="38">
        <v>3</v>
      </c>
      <c r="B5" s="39" t="s">
        <v>158</v>
      </c>
      <c r="C5" s="39" t="s">
        <v>173</v>
      </c>
      <c r="D5" s="50">
        <v>9</v>
      </c>
    </row>
    <row r="6" spans="1:4" ht="22.5" customHeight="1">
      <c r="A6" s="38">
        <v>3</v>
      </c>
      <c r="B6" s="39" t="s">
        <v>158</v>
      </c>
      <c r="C6" s="39" t="s">
        <v>174</v>
      </c>
      <c r="D6" s="50">
        <v>7.5</v>
      </c>
    </row>
    <row r="7" spans="1:4" ht="22.5" customHeight="1">
      <c r="A7" s="38">
        <v>3</v>
      </c>
      <c r="B7" s="39" t="s">
        <v>158</v>
      </c>
      <c r="C7" s="39" t="s">
        <v>175</v>
      </c>
      <c r="D7" s="50">
        <v>1.3</v>
      </c>
    </row>
    <row r="8" spans="1:4" ht="22.5" customHeight="1">
      <c r="A8" s="38">
        <v>3</v>
      </c>
      <c r="B8" s="39" t="s">
        <v>158</v>
      </c>
      <c r="C8" s="39" t="s">
        <v>176</v>
      </c>
      <c r="D8" s="50">
        <v>0.5</v>
      </c>
    </row>
    <row r="9" spans="1:4" ht="22.5" customHeight="1">
      <c r="A9" s="38">
        <v>3</v>
      </c>
      <c r="B9" s="39" t="s">
        <v>158</v>
      </c>
      <c r="C9" s="39" t="s">
        <v>177</v>
      </c>
      <c r="D9" s="50">
        <v>0.1</v>
      </c>
    </row>
    <row r="10" spans="1:4" ht="22.5" customHeight="1">
      <c r="A10" s="38">
        <v>3</v>
      </c>
      <c r="B10" s="39" t="s">
        <v>149</v>
      </c>
      <c r="C10" s="39" t="s">
        <v>172</v>
      </c>
      <c r="D10" s="50">
        <v>72</v>
      </c>
    </row>
    <row r="11" spans="1:4" ht="22.5" customHeight="1">
      <c r="A11" s="38">
        <v>3</v>
      </c>
      <c r="B11" s="39" t="s">
        <v>149</v>
      </c>
      <c r="C11" s="39" t="s">
        <v>171</v>
      </c>
      <c r="D11" s="50">
        <v>25</v>
      </c>
    </row>
    <row r="12" spans="1:4" ht="22.5" customHeight="1">
      <c r="A12" s="38">
        <v>3</v>
      </c>
      <c r="B12" s="39" t="s">
        <v>149</v>
      </c>
      <c r="C12" s="39" t="s">
        <v>173</v>
      </c>
      <c r="D12" s="50">
        <v>2</v>
      </c>
    </row>
    <row r="13" spans="1:4" ht="22.5" customHeight="1">
      <c r="A13" s="38">
        <v>3</v>
      </c>
      <c r="B13" s="39" t="s">
        <v>149</v>
      </c>
      <c r="C13" s="39" t="s">
        <v>178</v>
      </c>
      <c r="D13" s="50">
        <v>0.8</v>
      </c>
    </row>
    <row r="14" spans="1:4" ht="22.5" customHeight="1">
      <c r="A14" s="38">
        <v>3</v>
      </c>
      <c r="B14" s="39" t="s">
        <v>149</v>
      </c>
      <c r="C14" s="39" t="s">
        <v>179</v>
      </c>
      <c r="D14" s="50">
        <v>0.6</v>
      </c>
    </row>
    <row r="15" spans="1:4" ht="22.5" customHeight="1">
      <c r="A15" s="38">
        <v>3</v>
      </c>
      <c r="B15" s="39" t="s">
        <v>149</v>
      </c>
      <c r="C15" s="39" t="s">
        <v>177</v>
      </c>
      <c r="D15" s="50">
        <v>0.2</v>
      </c>
    </row>
    <row r="16" spans="1:4" ht="22.5" customHeight="1">
      <c r="A16" s="38">
        <v>3</v>
      </c>
      <c r="B16" s="39" t="s">
        <v>159</v>
      </c>
      <c r="C16" s="39" t="s">
        <v>171</v>
      </c>
      <c r="D16" s="50">
        <v>81</v>
      </c>
    </row>
    <row r="17" spans="1:4" ht="22.5" customHeight="1">
      <c r="A17" s="38">
        <v>3</v>
      </c>
      <c r="B17" s="39" t="s">
        <v>159</v>
      </c>
      <c r="C17" s="39" t="s">
        <v>179</v>
      </c>
      <c r="D17" s="50">
        <v>14</v>
      </c>
    </row>
    <row r="18" spans="1:4" ht="22.5" customHeight="1">
      <c r="A18" s="38">
        <v>3</v>
      </c>
      <c r="B18" s="39" t="s">
        <v>159</v>
      </c>
      <c r="C18" s="39" t="s">
        <v>177</v>
      </c>
      <c r="D18" s="50">
        <v>4.3</v>
      </c>
    </row>
    <row r="19" spans="1:4" ht="22.5" customHeight="1">
      <c r="A19" s="51">
        <v>3</v>
      </c>
      <c r="B19" s="52" t="s">
        <v>159</v>
      </c>
      <c r="C19" s="52" t="s">
        <v>176</v>
      </c>
      <c r="D19" s="53">
        <v>1</v>
      </c>
    </row>
  </sheetData>
  <dataValidations count="1">
    <dataValidation type="custom" allowBlank="1" showDropDown="1" sqref="A2:A19" xr:uid="{00000000-0002-0000-0500-000000000000}">
      <formula1>AND(ISNUMBER(A2),(NOT(OR(NOT(ISERROR(DATEVALUE(A2))), AND(ISNUMBER(A2), LEFT(CELL("format", A2))="D")))))</formula1>
    </dataValidation>
  </dataValidations>
  <pageMargins left="0" right="0" top="0" bottom="0" header="0" footer="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14"/>
  <sheetViews>
    <sheetView workbookViewId="0">
      <selection activeCell="M13" sqref="M13"/>
    </sheetView>
  </sheetViews>
  <sheetFormatPr baseColWidth="10" defaultColWidth="14.453125" defaultRowHeight="15" customHeight="1"/>
  <cols>
    <col min="1" max="1" width="5.7265625" bestFit="1" customWidth="1"/>
    <col min="4" max="4" width="8.7265625" bestFit="1" customWidth="1"/>
    <col min="5" max="5" width="7.1796875" bestFit="1" customWidth="1"/>
    <col min="6" max="6" width="8.1796875" bestFit="1" customWidth="1"/>
  </cols>
  <sheetData>
    <row r="1" spans="1:6" ht="14.5">
      <c r="A1" s="54" t="s">
        <v>136</v>
      </c>
      <c r="B1" s="55" t="s">
        <v>50</v>
      </c>
      <c r="C1" s="54" t="s">
        <v>180</v>
      </c>
      <c r="D1" s="54" t="s">
        <v>23</v>
      </c>
      <c r="E1" s="54" t="s">
        <v>181</v>
      </c>
      <c r="F1" s="54" t="s">
        <v>24</v>
      </c>
    </row>
    <row r="2" spans="1:6" ht="14.5">
      <c r="A2" s="56">
        <v>1</v>
      </c>
      <c r="B2" s="57" t="s">
        <v>182</v>
      </c>
      <c r="C2" s="57" t="s">
        <v>183</v>
      </c>
      <c r="D2" s="57" t="s">
        <v>184</v>
      </c>
      <c r="E2" s="36" t="s">
        <v>185</v>
      </c>
      <c r="F2" s="49" t="s">
        <v>186</v>
      </c>
    </row>
    <row r="3" spans="1:6" ht="14.5">
      <c r="A3" s="58">
        <v>2</v>
      </c>
      <c r="B3" s="59" t="s">
        <v>182</v>
      </c>
      <c r="C3" s="59" t="s">
        <v>183</v>
      </c>
      <c r="D3" s="59" t="s">
        <v>184</v>
      </c>
      <c r="E3" s="39" t="s">
        <v>185</v>
      </c>
      <c r="F3" s="50" t="s">
        <v>186</v>
      </c>
    </row>
    <row r="4" spans="1:6" ht="14.5">
      <c r="A4" s="58">
        <v>3</v>
      </c>
      <c r="B4" s="59" t="s">
        <v>182</v>
      </c>
      <c r="C4" s="59" t="s">
        <v>183</v>
      </c>
      <c r="D4" s="59" t="s">
        <v>184</v>
      </c>
      <c r="E4" s="39" t="s">
        <v>185</v>
      </c>
      <c r="F4" s="50" t="s">
        <v>186</v>
      </c>
    </row>
    <row r="5" spans="1:6" ht="14.5">
      <c r="A5" s="58">
        <v>4</v>
      </c>
      <c r="B5" s="59" t="s">
        <v>182</v>
      </c>
      <c r="C5" s="59" t="s">
        <v>183</v>
      </c>
      <c r="D5" s="59" t="s">
        <v>184</v>
      </c>
      <c r="E5" s="39" t="s">
        <v>185</v>
      </c>
      <c r="F5" s="50" t="s">
        <v>186</v>
      </c>
    </row>
    <row r="6" spans="1:6" ht="14.5">
      <c r="A6" s="58">
        <v>5</v>
      </c>
      <c r="B6" s="59" t="s">
        <v>182</v>
      </c>
      <c r="C6" s="59" t="s">
        <v>183</v>
      </c>
      <c r="D6" s="59" t="s">
        <v>184</v>
      </c>
      <c r="E6" s="39" t="s">
        <v>185</v>
      </c>
      <c r="F6" s="50" t="s">
        <v>186</v>
      </c>
    </row>
    <row r="7" spans="1:6" ht="14.5">
      <c r="A7" s="58">
        <v>6</v>
      </c>
      <c r="B7" s="59" t="s">
        <v>182</v>
      </c>
      <c r="C7" s="59" t="s">
        <v>183</v>
      </c>
      <c r="D7" s="59" t="s">
        <v>184</v>
      </c>
      <c r="E7" s="39" t="s">
        <v>185</v>
      </c>
      <c r="F7" s="50" t="s">
        <v>186</v>
      </c>
    </row>
    <row r="8" spans="1:6" ht="29">
      <c r="A8" s="60">
        <v>7</v>
      </c>
      <c r="B8" s="61" t="s">
        <v>187</v>
      </c>
      <c r="C8" s="61" t="s">
        <v>188</v>
      </c>
      <c r="D8" s="61"/>
      <c r="E8" s="39"/>
      <c r="F8" s="50"/>
    </row>
    <row r="9" spans="1:6" ht="29">
      <c r="A9" s="60">
        <v>8</v>
      </c>
      <c r="B9" s="61" t="s">
        <v>187</v>
      </c>
      <c r="C9" s="61" t="s">
        <v>188</v>
      </c>
      <c r="D9" s="61"/>
      <c r="E9" s="39"/>
      <c r="F9" s="50"/>
    </row>
    <row r="10" spans="1:6" ht="43.5">
      <c r="A10" s="60">
        <v>9</v>
      </c>
      <c r="B10" s="61" t="s">
        <v>182</v>
      </c>
      <c r="C10" s="61" t="s">
        <v>189</v>
      </c>
      <c r="D10" s="61"/>
      <c r="E10" s="39"/>
      <c r="F10" s="50"/>
    </row>
    <row r="11" spans="1:6" ht="58">
      <c r="A11" s="60">
        <v>10</v>
      </c>
      <c r="B11" s="61" t="s">
        <v>182</v>
      </c>
      <c r="C11" s="61" t="s">
        <v>190</v>
      </c>
      <c r="D11" s="61"/>
      <c r="E11" s="39"/>
      <c r="F11" s="50"/>
    </row>
    <row r="12" spans="1:6" ht="58">
      <c r="A12" s="60">
        <v>11</v>
      </c>
      <c r="B12" s="61" t="s">
        <v>182</v>
      </c>
      <c r="C12" s="61" t="s">
        <v>190</v>
      </c>
      <c r="D12" s="61"/>
      <c r="E12" s="39"/>
      <c r="F12" s="50"/>
    </row>
    <row r="13" spans="1:6" ht="58">
      <c r="A13" s="60">
        <v>12</v>
      </c>
      <c r="B13" s="61" t="s">
        <v>182</v>
      </c>
      <c r="C13" s="61" t="s">
        <v>191</v>
      </c>
      <c r="D13" s="61"/>
      <c r="E13" s="39"/>
      <c r="F13" s="50"/>
    </row>
    <row r="14" spans="1:6" ht="58">
      <c r="A14" s="62">
        <v>13</v>
      </c>
      <c r="B14" s="61" t="s">
        <v>182</v>
      </c>
      <c r="C14" s="63" t="s">
        <v>191</v>
      </c>
      <c r="D14" s="63"/>
      <c r="E14" s="52"/>
      <c r="F14" s="53"/>
    </row>
  </sheetData>
  <pageMargins left="0" right="0" top="0" bottom="0" header="0" footer="0"/>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3"/>
  <sheetViews>
    <sheetView workbookViewId="0">
      <selection activeCell="B3" activeCellId="2" sqref="K2 B2 B3"/>
    </sheetView>
  </sheetViews>
  <sheetFormatPr baseColWidth="10" defaultColWidth="14.453125" defaultRowHeight="15" customHeight="1"/>
  <sheetData>
    <row r="1" spans="1:4" ht="29">
      <c r="A1" s="32" t="s">
        <v>192</v>
      </c>
      <c r="B1" s="47" t="s">
        <v>193</v>
      </c>
      <c r="C1" s="48" t="s">
        <v>194</v>
      </c>
      <c r="D1" s="54" t="s">
        <v>195</v>
      </c>
    </row>
    <row r="2" spans="1:4" ht="87">
      <c r="A2" s="56" t="s">
        <v>196</v>
      </c>
      <c r="B2" s="64" t="s">
        <v>197</v>
      </c>
      <c r="C2" s="36">
        <v>1</v>
      </c>
      <c r="D2" s="49"/>
    </row>
    <row r="3" spans="1:4" ht="87">
      <c r="A3" s="62" t="s">
        <v>198</v>
      </c>
      <c r="B3" s="80" t="s">
        <v>198</v>
      </c>
      <c r="C3" s="45">
        <v>2</v>
      </c>
      <c r="D3" s="65" t="s">
        <v>199</v>
      </c>
    </row>
  </sheetData>
  <hyperlinks>
    <hyperlink ref="B2" r:id="rId1" xr:uid="{00000000-0004-0000-0700-000000000000}"/>
    <hyperlink ref="B3" r:id="rId2" xr:uid="{00000000-0004-0000-0700-000001000000}"/>
  </hyperlinks>
  <pageMargins left="0" right="0" top="0" bottom="0" header="0" footer="0"/>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1002"/>
  <sheetViews>
    <sheetView tabSelected="1" workbookViewId="0">
      <pane ySplit="1" topLeftCell="A6" activePane="bottomLeft" state="frozen"/>
      <selection pane="bottomLeft" activeCell="E4" sqref="E4"/>
    </sheetView>
  </sheetViews>
  <sheetFormatPr baseColWidth="10" defaultColWidth="14.453125" defaultRowHeight="15" customHeight="1"/>
  <cols>
    <col min="1" max="1" width="14.26953125" customWidth="1"/>
    <col min="2" max="3" width="50.1796875" customWidth="1"/>
    <col min="4" max="4" width="30" customWidth="1"/>
    <col min="5" max="5" width="42.453125" customWidth="1"/>
    <col min="6" max="6" width="16.81640625" customWidth="1"/>
    <col min="7" max="7" width="14.1796875" customWidth="1"/>
  </cols>
  <sheetData>
    <row r="1" spans="1:10" ht="49.5">
      <c r="A1" s="21" t="s">
        <v>200</v>
      </c>
      <c r="B1" s="21" t="s">
        <v>201</v>
      </c>
      <c r="C1" s="21" t="s">
        <v>202</v>
      </c>
      <c r="D1" s="21" t="s">
        <v>203</v>
      </c>
      <c r="E1" s="21" t="s">
        <v>204</v>
      </c>
      <c r="F1" s="21" t="s">
        <v>30</v>
      </c>
      <c r="G1" s="21" t="s">
        <v>87</v>
      </c>
      <c r="H1" s="5"/>
      <c r="I1" s="5"/>
      <c r="J1" s="5"/>
    </row>
    <row r="2" spans="1:10" ht="130">
      <c r="A2" s="66" t="s">
        <v>205</v>
      </c>
      <c r="B2" s="67" t="s">
        <v>206</v>
      </c>
      <c r="C2" s="67" t="s">
        <v>207</v>
      </c>
      <c r="D2" s="67" t="s">
        <v>208</v>
      </c>
      <c r="E2" s="67" t="s">
        <v>209</v>
      </c>
      <c r="F2" s="90" t="s">
        <v>210</v>
      </c>
      <c r="G2" s="93" t="s">
        <v>211</v>
      </c>
      <c r="H2" s="5"/>
      <c r="I2" s="5"/>
      <c r="J2" s="5"/>
    </row>
    <row r="3" spans="1:10" ht="104">
      <c r="A3" s="68" t="s">
        <v>212</v>
      </c>
      <c r="B3" s="69" t="s">
        <v>213</v>
      </c>
      <c r="C3" s="69" t="s">
        <v>214</v>
      </c>
      <c r="D3" s="69" t="s">
        <v>215</v>
      </c>
      <c r="E3" s="69" t="s">
        <v>216</v>
      </c>
      <c r="F3" s="83"/>
      <c r="G3" s="83"/>
      <c r="H3" s="5"/>
      <c r="I3" s="5"/>
      <c r="J3" s="5"/>
    </row>
    <row r="4" spans="1:10" ht="91.5" customHeight="1">
      <c r="A4" s="66" t="s">
        <v>217</v>
      </c>
      <c r="B4" s="67" t="s">
        <v>218</v>
      </c>
      <c r="C4" s="67" t="s">
        <v>219</v>
      </c>
      <c r="D4" s="67" t="s">
        <v>220</v>
      </c>
      <c r="E4" s="67" t="s">
        <v>221</v>
      </c>
      <c r="F4" s="91"/>
      <c r="G4" s="91"/>
      <c r="H4" s="5"/>
      <c r="I4" s="5"/>
      <c r="J4" s="5"/>
    </row>
    <row r="5" spans="1:10" ht="91">
      <c r="A5" s="68" t="s">
        <v>222</v>
      </c>
      <c r="B5" s="69" t="s">
        <v>223</v>
      </c>
      <c r="C5" s="69" t="s">
        <v>224</v>
      </c>
      <c r="D5" s="69" t="s">
        <v>225</v>
      </c>
      <c r="E5" s="69" t="s">
        <v>226</v>
      </c>
      <c r="F5" s="83"/>
      <c r="G5" s="83"/>
      <c r="H5" s="5"/>
      <c r="I5" s="5"/>
      <c r="J5" s="5"/>
    </row>
    <row r="6" spans="1:10" ht="135" customHeight="1">
      <c r="A6" s="66" t="s">
        <v>227</v>
      </c>
      <c r="B6" s="67" t="s">
        <v>228</v>
      </c>
      <c r="C6" s="67" t="s">
        <v>229</v>
      </c>
      <c r="D6" s="67" t="s">
        <v>230</v>
      </c>
      <c r="E6" s="67" t="s">
        <v>226</v>
      </c>
      <c r="F6" s="91"/>
      <c r="G6" s="91"/>
      <c r="H6" s="5"/>
      <c r="I6" s="5"/>
      <c r="J6" s="5"/>
    </row>
    <row r="7" spans="1:10" ht="99" customHeight="1">
      <c r="A7" s="68" t="s">
        <v>231</v>
      </c>
      <c r="B7" s="69" t="s">
        <v>232</v>
      </c>
      <c r="C7" s="69" t="s">
        <v>233</v>
      </c>
      <c r="D7" s="69" t="s">
        <v>225</v>
      </c>
      <c r="E7" s="69"/>
      <c r="F7" s="83"/>
      <c r="G7" s="83"/>
      <c r="H7" s="5"/>
      <c r="I7" s="5"/>
      <c r="J7" s="5"/>
    </row>
    <row r="8" spans="1:10" ht="91">
      <c r="A8" s="70" t="s">
        <v>234</v>
      </c>
      <c r="B8" s="70" t="s">
        <v>235</v>
      </c>
      <c r="C8" s="70" t="s">
        <v>236</v>
      </c>
      <c r="D8" s="70" t="s">
        <v>237</v>
      </c>
      <c r="E8" s="67"/>
      <c r="F8" s="91"/>
      <c r="G8" s="91"/>
      <c r="H8" s="5"/>
      <c r="I8" s="5"/>
      <c r="J8" s="5"/>
    </row>
    <row r="9" spans="1:10" ht="91">
      <c r="A9" s="71" t="s">
        <v>238</v>
      </c>
      <c r="B9" s="71" t="s">
        <v>239</v>
      </c>
      <c r="C9" s="71"/>
      <c r="D9" s="71"/>
      <c r="E9" s="71"/>
      <c r="F9" s="83"/>
      <c r="G9" s="83"/>
    </row>
    <row r="10" spans="1:10" ht="195">
      <c r="A10" s="70" t="s">
        <v>240</v>
      </c>
      <c r="B10" s="70" t="s">
        <v>241</v>
      </c>
      <c r="C10" s="70"/>
      <c r="D10" s="70"/>
      <c r="E10" s="70"/>
      <c r="F10" s="92"/>
      <c r="G10" s="92"/>
    </row>
    <row r="11" spans="1:10" ht="14.5">
      <c r="D11" s="5"/>
    </row>
    <row r="12" spans="1:10" ht="14.5">
      <c r="D12" s="5"/>
    </row>
    <row r="13" spans="1:10" ht="14.5">
      <c r="D13" s="5"/>
    </row>
    <row r="14" spans="1:10" ht="14.5">
      <c r="D14" s="5"/>
    </row>
    <row r="15" spans="1:10" ht="14.5">
      <c r="D15" s="5"/>
    </row>
    <row r="16" spans="1:10" ht="14.5">
      <c r="D16" s="5"/>
    </row>
    <row r="17" spans="4:4" ht="14.5">
      <c r="D17" s="5"/>
    </row>
    <row r="18" spans="4:4" ht="14.5">
      <c r="D18" s="5"/>
    </row>
    <row r="19" spans="4:4" ht="14.5">
      <c r="D19" s="5"/>
    </row>
    <row r="20" spans="4:4" ht="14.5">
      <c r="D20" s="5"/>
    </row>
    <row r="21" spans="4:4" ht="14.5">
      <c r="D21" s="5"/>
    </row>
    <row r="22" spans="4:4" ht="14.5">
      <c r="D22" s="5"/>
    </row>
    <row r="23" spans="4:4" ht="14.5">
      <c r="D23" s="5"/>
    </row>
    <row r="24" spans="4:4" ht="14.5">
      <c r="D24" s="5"/>
    </row>
    <row r="25" spans="4:4" ht="14.5">
      <c r="D25" s="5"/>
    </row>
    <row r="26" spans="4:4" ht="14.5">
      <c r="D26" s="5"/>
    </row>
    <row r="27" spans="4:4" ht="14.5">
      <c r="D27" s="5"/>
    </row>
    <row r="28" spans="4:4" ht="14.5">
      <c r="D28" s="5"/>
    </row>
    <row r="29" spans="4:4" ht="14.5">
      <c r="D29" s="5"/>
    </row>
    <row r="30" spans="4:4" ht="14.5">
      <c r="D30" s="5"/>
    </row>
    <row r="31" spans="4:4" ht="14.5">
      <c r="D31" s="5"/>
    </row>
    <row r="32" spans="4:4" ht="14.5">
      <c r="D32" s="5"/>
    </row>
    <row r="33" spans="4:4" ht="14.5">
      <c r="D33" s="5"/>
    </row>
    <row r="34" spans="4:4" ht="14.5">
      <c r="D34" s="5"/>
    </row>
    <row r="35" spans="4:4" ht="14.5">
      <c r="D35" s="5"/>
    </row>
    <row r="36" spans="4:4" ht="14.5">
      <c r="D36" s="5"/>
    </row>
    <row r="37" spans="4:4" ht="14.5">
      <c r="D37" s="5"/>
    </row>
    <row r="38" spans="4:4" ht="14.5">
      <c r="D38" s="5"/>
    </row>
    <row r="39" spans="4:4" ht="14.5">
      <c r="D39" s="5"/>
    </row>
    <row r="40" spans="4:4" ht="14.5">
      <c r="D40" s="5"/>
    </row>
    <row r="41" spans="4:4" ht="14.5">
      <c r="D41" s="5"/>
    </row>
    <row r="42" spans="4:4" ht="14.5">
      <c r="D42" s="5"/>
    </row>
    <row r="43" spans="4:4" ht="14.5">
      <c r="D43" s="5"/>
    </row>
    <row r="44" spans="4:4" ht="14.5">
      <c r="D44" s="5"/>
    </row>
    <row r="45" spans="4:4" ht="14.5">
      <c r="D45" s="5"/>
    </row>
    <row r="46" spans="4:4" ht="14.5">
      <c r="D46" s="5"/>
    </row>
    <row r="47" spans="4:4" ht="14.5">
      <c r="D47" s="5"/>
    </row>
    <row r="48" spans="4:4" ht="14.5">
      <c r="D48" s="5"/>
    </row>
    <row r="49" spans="4:4" ht="14.5">
      <c r="D49" s="5"/>
    </row>
    <row r="50" spans="4:4" ht="14.5">
      <c r="D50" s="5"/>
    </row>
    <row r="51" spans="4:4" ht="14.5">
      <c r="D51" s="5"/>
    </row>
    <row r="52" spans="4:4" ht="14.5">
      <c r="D52" s="5"/>
    </row>
    <row r="53" spans="4:4" ht="14.5">
      <c r="D53" s="5"/>
    </row>
    <row r="54" spans="4:4" ht="14.5">
      <c r="D54" s="5"/>
    </row>
    <row r="55" spans="4:4" ht="14.5">
      <c r="D55" s="5"/>
    </row>
    <row r="56" spans="4:4" ht="14.5">
      <c r="D56" s="5"/>
    </row>
    <row r="57" spans="4:4" ht="14.5">
      <c r="D57" s="5"/>
    </row>
    <row r="58" spans="4:4" ht="14.5">
      <c r="D58" s="5"/>
    </row>
    <row r="59" spans="4:4" ht="14.5">
      <c r="D59" s="5"/>
    </row>
    <row r="60" spans="4:4" ht="14.5">
      <c r="D60" s="5"/>
    </row>
    <row r="61" spans="4:4" ht="14.5">
      <c r="D61" s="5"/>
    </row>
    <row r="62" spans="4:4" ht="14.5">
      <c r="D62" s="5"/>
    </row>
    <row r="63" spans="4:4" ht="14.5">
      <c r="D63" s="5"/>
    </row>
    <row r="64" spans="4:4" ht="14.5">
      <c r="D64" s="5"/>
    </row>
    <row r="65" spans="4:4" ht="14.5">
      <c r="D65" s="5"/>
    </row>
    <row r="66" spans="4:4" ht="14.5">
      <c r="D66" s="5"/>
    </row>
    <row r="67" spans="4:4" ht="14.5">
      <c r="D67" s="5"/>
    </row>
    <row r="68" spans="4:4" ht="14.5">
      <c r="D68" s="5"/>
    </row>
    <row r="69" spans="4:4" ht="14.5">
      <c r="D69" s="5"/>
    </row>
    <row r="70" spans="4:4" ht="14.5">
      <c r="D70" s="5"/>
    </row>
    <row r="71" spans="4:4" ht="14.5">
      <c r="D71" s="5"/>
    </row>
    <row r="72" spans="4:4" ht="14.5">
      <c r="D72" s="5"/>
    </row>
    <row r="73" spans="4:4" ht="14.5">
      <c r="D73" s="5"/>
    </row>
    <row r="74" spans="4:4" ht="14.5">
      <c r="D74" s="5"/>
    </row>
    <row r="75" spans="4:4" ht="14.5">
      <c r="D75" s="5"/>
    </row>
    <row r="76" spans="4:4" ht="14.5">
      <c r="D76" s="5"/>
    </row>
    <row r="77" spans="4:4" ht="14.5">
      <c r="D77" s="5"/>
    </row>
    <row r="78" spans="4:4" ht="14.5">
      <c r="D78" s="5"/>
    </row>
    <row r="79" spans="4:4" ht="14.5">
      <c r="D79" s="5"/>
    </row>
    <row r="80" spans="4:4" ht="14.5">
      <c r="D80" s="5"/>
    </row>
    <row r="81" spans="4:4" ht="14.5">
      <c r="D81" s="5"/>
    </row>
    <row r="82" spans="4:4" ht="14.5">
      <c r="D82" s="5"/>
    </row>
    <row r="83" spans="4:4" ht="14.5">
      <c r="D83" s="5"/>
    </row>
    <row r="84" spans="4:4" ht="14.5">
      <c r="D84" s="5"/>
    </row>
    <row r="85" spans="4:4" ht="14.5">
      <c r="D85" s="5"/>
    </row>
    <row r="86" spans="4:4" ht="14.5">
      <c r="D86" s="5"/>
    </row>
    <row r="87" spans="4:4" ht="14.5">
      <c r="D87" s="5"/>
    </row>
    <row r="88" spans="4:4" ht="14.5">
      <c r="D88" s="5"/>
    </row>
    <row r="89" spans="4:4" ht="14.5">
      <c r="D89" s="5"/>
    </row>
    <row r="90" spans="4:4" ht="14.5">
      <c r="D90" s="5"/>
    </row>
    <row r="91" spans="4:4" ht="14.5">
      <c r="D91" s="5"/>
    </row>
    <row r="92" spans="4:4" ht="14.5">
      <c r="D92" s="5"/>
    </row>
    <row r="93" spans="4:4" ht="14.5">
      <c r="D93" s="5"/>
    </row>
    <row r="94" spans="4:4" ht="14.5">
      <c r="D94" s="5"/>
    </row>
    <row r="95" spans="4:4" ht="14.5">
      <c r="D95" s="5"/>
    </row>
    <row r="96" spans="4:4" ht="14.5">
      <c r="D96" s="5"/>
    </row>
    <row r="97" spans="4:4" ht="14.5">
      <c r="D97" s="5"/>
    </row>
    <row r="98" spans="4:4" ht="14.5">
      <c r="D98" s="5"/>
    </row>
    <row r="99" spans="4:4" ht="14.5">
      <c r="D99" s="5"/>
    </row>
    <row r="100" spans="4:4" ht="14.5">
      <c r="D100" s="5"/>
    </row>
    <row r="101" spans="4:4" ht="14.5">
      <c r="D101" s="5"/>
    </row>
    <row r="102" spans="4:4" ht="14.5">
      <c r="D102" s="5"/>
    </row>
    <row r="103" spans="4:4" ht="14.5">
      <c r="D103" s="5"/>
    </row>
    <row r="104" spans="4:4" ht="14.5">
      <c r="D104" s="5"/>
    </row>
    <row r="105" spans="4:4" ht="14.5">
      <c r="D105" s="5"/>
    </row>
    <row r="106" spans="4:4" ht="14.5">
      <c r="D106" s="5"/>
    </row>
    <row r="107" spans="4:4" ht="14.5">
      <c r="D107" s="5"/>
    </row>
    <row r="108" spans="4:4" ht="14.5">
      <c r="D108" s="5"/>
    </row>
    <row r="109" spans="4:4" ht="14.5">
      <c r="D109" s="5"/>
    </row>
    <row r="110" spans="4:4" ht="14.5">
      <c r="D110" s="5"/>
    </row>
    <row r="111" spans="4:4" ht="14.5">
      <c r="D111" s="5"/>
    </row>
    <row r="112" spans="4:4" ht="14.5">
      <c r="D112" s="5"/>
    </row>
    <row r="113" spans="4:4" ht="14.5">
      <c r="D113" s="5"/>
    </row>
    <row r="114" spans="4:4" ht="14.5">
      <c r="D114" s="5"/>
    </row>
    <row r="115" spans="4:4" ht="14.5">
      <c r="D115" s="5"/>
    </row>
    <row r="116" spans="4:4" ht="14.5">
      <c r="D116" s="5"/>
    </row>
    <row r="117" spans="4:4" ht="14.5">
      <c r="D117" s="5"/>
    </row>
    <row r="118" spans="4:4" ht="14.5">
      <c r="D118" s="5"/>
    </row>
    <row r="119" spans="4:4" ht="14.5">
      <c r="D119" s="5"/>
    </row>
    <row r="120" spans="4:4" ht="14.5">
      <c r="D120" s="5"/>
    </row>
    <row r="121" spans="4:4" ht="14.5">
      <c r="D121" s="5"/>
    </row>
    <row r="122" spans="4:4" ht="14.5">
      <c r="D122" s="5"/>
    </row>
    <row r="123" spans="4:4" ht="14.5">
      <c r="D123" s="5"/>
    </row>
    <row r="124" spans="4:4" ht="14.5">
      <c r="D124" s="5"/>
    </row>
    <row r="125" spans="4:4" ht="14.5">
      <c r="D125" s="5"/>
    </row>
    <row r="126" spans="4:4" ht="14.5">
      <c r="D126" s="5"/>
    </row>
    <row r="127" spans="4:4" ht="14.5">
      <c r="D127" s="5"/>
    </row>
    <row r="128" spans="4:4" ht="14.5">
      <c r="D128" s="5"/>
    </row>
    <row r="129" spans="4:4" ht="14.5">
      <c r="D129" s="5"/>
    </row>
    <row r="130" spans="4:4" ht="14.5">
      <c r="D130" s="5"/>
    </row>
    <row r="131" spans="4:4" ht="14.5">
      <c r="D131" s="5"/>
    </row>
    <row r="132" spans="4:4" ht="14.5">
      <c r="D132" s="5"/>
    </row>
    <row r="133" spans="4:4" ht="14.5">
      <c r="D133" s="5"/>
    </row>
    <row r="134" spans="4:4" ht="14.5">
      <c r="D134" s="5"/>
    </row>
    <row r="135" spans="4:4" ht="14.5">
      <c r="D135" s="5"/>
    </row>
    <row r="136" spans="4:4" ht="14.5">
      <c r="D136" s="5"/>
    </row>
    <row r="137" spans="4:4" ht="14.5">
      <c r="D137" s="5"/>
    </row>
    <row r="138" spans="4:4" ht="14.5">
      <c r="D138" s="5"/>
    </row>
    <row r="139" spans="4:4" ht="14.5">
      <c r="D139" s="5"/>
    </row>
    <row r="140" spans="4:4" ht="14.5">
      <c r="D140" s="5"/>
    </row>
    <row r="141" spans="4:4" ht="14.5">
      <c r="D141" s="5"/>
    </row>
    <row r="142" spans="4:4" ht="14.5">
      <c r="D142" s="5"/>
    </row>
    <row r="143" spans="4:4" ht="14.5">
      <c r="D143" s="5"/>
    </row>
    <row r="144" spans="4:4" ht="14.5">
      <c r="D144" s="5"/>
    </row>
    <row r="145" spans="4:4" ht="14.5">
      <c r="D145" s="5"/>
    </row>
    <row r="146" spans="4:4" ht="14.5">
      <c r="D146" s="5"/>
    </row>
    <row r="147" spans="4:4" ht="14.5">
      <c r="D147" s="5"/>
    </row>
    <row r="148" spans="4:4" ht="14.5">
      <c r="D148" s="5"/>
    </row>
    <row r="149" spans="4:4" ht="14.5">
      <c r="D149" s="5"/>
    </row>
    <row r="150" spans="4:4" ht="14.5">
      <c r="D150" s="5"/>
    </row>
    <row r="151" spans="4:4" ht="14.5">
      <c r="D151" s="5"/>
    </row>
    <row r="152" spans="4:4" ht="14.5">
      <c r="D152" s="5"/>
    </row>
    <row r="153" spans="4:4" ht="14.5">
      <c r="D153" s="5"/>
    </row>
    <row r="154" spans="4:4" ht="14.5">
      <c r="D154" s="5"/>
    </row>
    <row r="155" spans="4:4" ht="14.5">
      <c r="D155" s="5"/>
    </row>
    <row r="156" spans="4:4" ht="14.5">
      <c r="D156" s="5"/>
    </row>
    <row r="157" spans="4:4" ht="14.5">
      <c r="D157" s="5"/>
    </row>
    <row r="158" spans="4:4" ht="14.5">
      <c r="D158" s="5"/>
    </row>
    <row r="159" spans="4:4" ht="14.5">
      <c r="D159" s="5"/>
    </row>
    <row r="160" spans="4:4" ht="14.5">
      <c r="D160" s="5"/>
    </row>
    <row r="161" spans="4:4" ht="14.5">
      <c r="D161" s="5"/>
    </row>
    <row r="162" spans="4:4" ht="14.5">
      <c r="D162" s="5"/>
    </row>
    <row r="163" spans="4:4" ht="14.5">
      <c r="D163" s="5"/>
    </row>
    <row r="164" spans="4:4" ht="14.5">
      <c r="D164" s="5"/>
    </row>
    <row r="165" spans="4:4" ht="14.5">
      <c r="D165" s="5"/>
    </row>
    <row r="166" spans="4:4" ht="14.5">
      <c r="D166" s="5"/>
    </row>
    <row r="167" spans="4:4" ht="14.5">
      <c r="D167" s="5"/>
    </row>
    <row r="168" spans="4:4" ht="14.5">
      <c r="D168" s="5"/>
    </row>
    <row r="169" spans="4:4" ht="14.5">
      <c r="D169" s="5"/>
    </row>
    <row r="170" spans="4:4" ht="14.5">
      <c r="D170" s="5"/>
    </row>
    <row r="171" spans="4:4" ht="14.5">
      <c r="D171" s="5"/>
    </row>
    <row r="172" spans="4:4" ht="14.5">
      <c r="D172" s="5"/>
    </row>
    <row r="173" spans="4:4" ht="14.5">
      <c r="D173" s="5"/>
    </row>
    <row r="174" spans="4:4" ht="14.5">
      <c r="D174" s="5"/>
    </row>
    <row r="175" spans="4:4" ht="14.5">
      <c r="D175" s="5"/>
    </row>
    <row r="176" spans="4:4" ht="14.5">
      <c r="D176" s="5"/>
    </row>
    <row r="177" spans="4:4" ht="14.5">
      <c r="D177" s="5"/>
    </row>
    <row r="178" spans="4:4" ht="14.5">
      <c r="D178" s="5"/>
    </row>
    <row r="179" spans="4:4" ht="14.5">
      <c r="D179" s="5"/>
    </row>
    <row r="180" spans="4:4" ht="14.5">
      <c r="D180" s="5"/>
    </row>
    <row r="181" spans="4:4" ht="14.5">
      <c r="D181" s="5"/>
    </row>
    <row r="182" spans="4:4" ht="14.5">
      <c r="D182" s="5"/>
    </row>
    <row r="183" spans="4:4" ht="14.5">
      <c r="D183" s="5"/>
    </row>
    <row r="184" spans="4:4" ht="14.5">
      <c r="D184" s="5"/>
    </row>
    <row r="185" spans="4:4" ht="14.5">
      <c r="D185" s="5"/>
    </row>
    <row r="186" spans="4:4" ht="14.5">
      <c r="D186" s="5"/>
    </row>
    <row r="187" spans="4:4" ht="14.5">
      <c r="D187" s="5"/>
    </row>
    <row r="188" spans="4:4" ht="14.5">
      <c r="D188" s="5"/>
    </row>
    <row r="189" spans="4:4" ht="14.5">
      <c r="D189" s="5"/>
    </row>
    <row r="190" spans="4:4" ht="14.5">
      <c r="D190" s="5"/>
    </row>
    <row r="191" spans="4:4" ht="14.5">
      <c r="D191" s="5"/>
    </row>
    <row r="192" spans="4:4" ht="14.5">
      <c r="D192" s="5"/>
    </row>
    <row r="193" spans="4:4" ht="14.5">
      <c r="D193" s="5"/>
    </row>
    <row r="194" spans="4:4" ht="14.5">
      <c r="D194" s="5"/>
    </row>
    <row r="195" spans="4:4" ht="14.5">
      <c r="D195" s="5"/>
    </row>
    <row r="196" spans="4:4" ht="14.5">
      <c r="D196" s="5"/>
    </row>
    <row r="197" spans="4:4" ht="14.5">
      <c r="D197" s="5"/>
    </row>
    <row r="198" spans="4:4" ht="14.5">
      <c r="D198" s="5"/>
    </row>
    <row r="199" spans="4:4" ht="14.5">
      <c r="D199" s="5"/>
    </row>
    <row r="200" spans="4:4" ht="14.5">
      <c r="D200" s="5"/>
    </row>
    <row r="201" spans="4:4" ht="14.5">
      <c r="D201" s="5"/>
    </row>
    <row r="202" spans="4:4" ht="14.5">
      <c r="D202" s="5"/>
    </row>
    <row r="203" spans="4:4" ht="14.5">
      <c r="D203" s="5"/>
    </row>
    <row r="204" spans="4:4" ht="14.5">
      <c r="D204" s="5"/>
    </row>
    <row r="205" spans="4:4" ht="14.5">
      <c r="D205" s="5"/>
    </row>
    <row r="206" spans="4:4" ht="14.5">
      <c r="D206" s="5"/>
    </row>
    <row r="207" spans="4:4" ht="14.5">
      <c r="D207" s="5"/>
    </row>
    <row r="208" spans="4:4" ht="14.5">
      <c r="D208" s="5"/>
    </row>
    <row r="209" spans="4:4" ht="14.5">
      <c r="D209" s="5"/>
    </row>
    <row r="210" spans="4:4" ht="14.5">
      <c r="D210" s="5"/>
    </row>
    <row r="211" spans="4:4" ht="14.5">
      <c r="D211" s="5"/>
    </row>
    <row r="212" spans="4:4" ht="14.5">
      <c r="D212" s="5"/>
    </row>
    <row r="213" spans="4:4" ht="14.5">
      <c r="D213" s="5"/>
    </row>
    <row r="214" spans="4:4" ht="14.5">
      <c r="D214" s="5"/>
    </row>
    <row r="215" spans="4:4" ht="14.5">
      <c r="D215" s="5"/>
    </row>
    <row r="216" spans="4:4" ht="14.5">
      <c r="D216" s="5"/>
    </row>
    <row r="217" spans="4:4" ht="14.5">
      <c r="D217" s="5"/>
    </row>
    <row r="218" spans="4:4" ht="14.5">
      <c r="D218" s="5"/>
    </row>
    <row r="219" spans="4:4" ht="14.5">
      <c r="D219" s="5"/>
    </row>
    <row r="220" spans="4:4" ht="14.5">
      <c r="D220" s="5"/>
    </row>
    <row r="221" spans="4:4" ht="14.5">
      <c r="D221" s="5"/>
    </row>
    <row r="222" spans="4:4" ht="14.5">
      <c r="D222" s="5"/>
    </row>
    <row r="223" spans="4:4" ht="14.5">
      <c r="D223" s="5"/>
    </row>
    <row r="224" spans="4:4" ht="14.5">
      <c r="D224" s="5"/>
    </row>
    <row r="225" spans="4:4" ht="14.5">
      <c r="D225" s="5"/>
    </row>
    <row r="226" spans="4:4" ht="14.5">
      <c r="D226" s="5"/>
    </row>
    <row r="227" spans="4:4" ht="14.5">
      <c r="D227" s="5"/>
    </row>
    <row r="228" spans="4:4" ht="14.5">
      <c r="D228" s="5"/>
    </row>
    <row r="229" spans="4:4" ht="14.5">
      <c r="D229" s="5"/>
    </row>
    <row r="230" spans="4:4" ht="14.5">
      <c r="D230" s="5"/>
    </row>
    <row r="231" spans="4:4" ht="14.5">
      <c r="D231" s="5"/>
    </row>
    <row r="232" spans="4:4" ht="14.5">
      <c r="D232" s="5"/>
    </row>
    <row r="233" spans="4:4" ht="14.5">
      <c r="D233" s="5"/>
    </row>
    <row r="234" spans="4:4" ht="14.5">
      <c r="D234" s="5"/>
    </row>
    <row r="235" spans="4:4" ht="14.5">
      <c r="D235" s="5"/>
    </row>
    <row r="236" spans="4:4" ht="14.5">
      <c r="D236" s="5"/>
    </row>
    <row r="237" spans="4:4" ht="14.5">
      <c r="D237" s="5"/>
    </row>
    <row r="238" spans="4:4" ht="14.5">
      <c r="D238" s="5"/>
    </row>
    <row r="239" spans="4:4" ht="14.5">
      <c r="D239" s="5"/>
    </row>
    <row r="240" spans="4:4" ht="14.5">
      <c r="D240" s="5"/>
    </row>
    <row r="241" spans="4:4" ht="14.5">
      <c r="D241" s="5"/>
    </row>
    <row r="242" spans="4:4" ht="14.5">
      <c r="D242" s="5"/>
    </row>
    <row r="243" spans="4:4" ht="14.5">
      <c r="D243" s="5"/>
    </row>
    <row r="244" spans="4:4" ht="14.5">
      <c r="D244" s="5"/>
    </row>
    <row r="245" spans="4:4" ht="14.5">
      <c r="D245" s="5"/>
    </row>
    <row r="246" spans="4:4" ht="14.5">
      <c r="D246" s="5"/>
    </row>
    <row r="247" spans="4:4" ht="14.5">
      <c r="D247" s="5"/>
    </row>
    <row r="248" spans="4:4" ht="14.5">
      <c r="D248" s="5"/>
    </row>
    <row r="249" spans="4:4" ht="14.5">
      <c r="D249" s="5"/>
    </row>
    <row r="250" spans="4:4" ht="14.5">
      <c r="D250" s="5"/>
    </row>
    <row r="251" spans="4:4" ht="14.5">
      <c r="D251" s="5"/>
    </row>
    <row r="252" spans="4:4" ht="14.5">
      <c r="D252" s="5"/>
    </row>
    <row r="253" spans="4:4" ht="14.5">
      <c r="D253" s="5"/>
    </row>
    <row r="254" spans="4:4" ht="14.5">
      <c r="D254" s="5"/>
    </row>
    <row r="255" spans="4:4" ht="14.5">
      <c r="D255" s="5"/>
    </row>
    <row r="256" spans="4:4" ht="14.5">
      <c r="D256" s="5"/>
    </row>
    <row r="257" spans="4:4" ht="14.5">
      <c r="D257" s="5"/>
    </row>
    <row r="258" spans="4:4" ht="14.5">
      <c r="D258" s="5"/>
    </row>
    <row r="259" spans="4:4" ht="14.5">
      <c r="D259" s="5"/>
    </row>
    <row r="260" spans="4:4" ht="14.5">
      <c r="D260" s="5"/>
    </row>
    <row r="261" spans="4:4" ht="14.5">
      <c r="D261" s="5"/>
    </row>
    <row r="262" spans="4:4" ht="14.5">
      <c r="D262" s="5"/>
    </row>
    <row r="263" spans="4:4" ht="14.5">
      <c r="D263" s="5"/>
    </row>
    <row r="264" spans="4:4" ht="14.5">
      <c r="D264" s="5"/>
    </row>
    <row r="265" spans="4:4" ht="14.5">
      <c r="D265" s="5"/>
    </row>
    <row r="266" spans="4:4" ht="14.5">
      <c r="D266" s="5"/>
    </row>
    <row r="267" spans="4:4" ht="14.5">
      <c r="D267" s="5"/>
    </row>
    <row r="268" spans="4:4" ht="14.5">
      <c r="D268" s="5"/>
    </row>
    <row r="269" spans="4:4" ht="14.5">
      <c r="D269" s="5"/>
    </row>
    <row r="270" spans="4:4" ht="14.5">
      <c r="D270" s="5"/>
    </row>
    <row r="271" spans="4:4" ht="14.5">
      <c r="D271" s="5"/>
    </row>
    <row r="272" spans="4:4" ht="14.5">
      <c r="D272" s="5"/>
    </row>
    <row r="273" spans="4:4" ht="14.5">
      <c r="D273" s="5"/>
    </row>
    <row r="274" spans="4:4" ht="14.5">
      <c r="D274" s="5"/>
    </row>
    <row r="275" spans="4:4" ht="14.5">
      <c r="D275" s="5"/>
    </row>
    <row r="276" spans="4:4" ht="14.5">
      <c r="D276" s="5"/>
    </row>
    <row r="277" spans="4:4" ht="14.5">
      <c r="D277" s="5"/>
    </row>
    <row r="278" spans="4:4" ht="14.5">
      <c r="D278" s="5"/>
    </row>
    <row r="279" spans="4:4" ht="14.5">
      <c r="D279" s="5"/>
    </row>
    <row r="280" spans="4:4" ht="14.5">
      <c r="D280" s="5"/>
    </row>
    <row r="281" spans="4:4" ht="14.5">
      <c r="D281" s="5"/>
    </row>
    <row r="282" spans="4:4" ht="14.5">
      <c r="D282" s="5"/>
    </row>
    <row r="283" spans="4:4" ht="14.5">
      <c r="D283" s="5"/>
    </row>
    <row r="284" spans="4:4" ht="14.5">
      <c r="D284" s="5"/>
    </row>
    <row r="285" spans="4:4" ht="14.5">
      <c r="D285" s="5"/>
    </row>
    <row r="286" spans="4:4" ht="14.5">
      <c r="D286" s="5"/>
    </row>
    <row r="287" spans="4:4" ht="14.5">
      <c r="D287" s="5"/>
    </row>
    <row r="288" spans="4:4" ht="14.5">
      <c r="D288" s="5"/>
    </row>
    <row r="289" spans="4:4" ht="14.5">
      <c r="D289" s="5"/>
    </row>
    <row r="290" spans="4:4" ht="14.5">
      <c r="D290" s="5"/>
    </row>
    <row r="291" spans="4:4" ht="14.5">
      <c r="D291" s="5"/>
    </row>
    <row r="292" spans="4:4" ht="14.5">
      <c r="D292" s="5"/>
    </row>
    <row r="293" spans="4:4" ht="14.5">
      <c r="D293" s="5"/>
    </row>
    <row r="294" spans="4:4" ht="14.5">
      <c r="D294" s="5"/>
    </row>
    <row r="295" spans="4:4" ht="14.5">
      <c r="D295" s="5"/>
    </row>
    <row r="296" spans="4:4" ht="14.5">
      <c r="D296" s="5"/>
    </row>
    <row r="297" spans="4:4" ht="14.5">
      <c r="D297" s="5"/>
    </row>
    <row r="298" spans="4:4" ht="14.5">
      <c r="D298" s="5"/>
    </row>
    <row r="299" spans="4:4" ht="14.5">
      <c r="D299" s="5"/>
    </row>
    <row r="300" spans="4:4" ht="14.5">
      <c r="D300" s="5"/>
    </row>
    <row r="301" spans="4:4" ht="14.5">
      <c r="D301" s="5"/>
    </row>
    <row r="302" spans="4:4" ht="14.5">
      <c r="D302" s="5"/>
    </row>
    <row r="303" spans="4:4" ht="14.5">
      <c r="D303" s="5"/>
    </row>
    <row r="304" spans="4:4" ht="14.5">
      <c r="D304" s="5"/>
    </row>
    <row r="305" spans="4:4" ht="14.5">
      <c r="D305" s="5"/>
    </row>
    <row r="306" spans="4:4" ht="14.5">
      <c r="D306" s="5"/>
    </row>
    <row r="307" spans="4:4" ht="14.5">
      <c r="D307" s="5"/>
    </row>
    <row r="308" spans="4:4" ht="14.5">
      <c r="D308" s="5"/>
    </row>
    <row r="309" spans="4:4" ht="14.5">
      <c r="D309" s="5"/>
    </row>
    <row r="310" spans="4:4" ht="14.5">
      <c r="D310" s="5"/>
    </row>
    <row r="311" spans="4:4" ht="14.5">
      <c r="D311" s="5"/>
    </row>
    <row r="312" spans="4:4" ht="14.5">
      <c r="D312" s="5"/>
    </row>
    <row r="313" spans="4:4" ht="14.5">
      <c r="D313" s="5"/>
    </row>
    <row r="314" spans="4:4" ht="14.5">
      <c r="D314" s="5"/>
    </row>
    <row r="315" spans="4:4" ht="14.5">
      <c r="D315" s="5"/>
    </row>
    <row r="316" spans="4:4" ht="14.5">
      <c r="D316" s="5"/>
    </row>
    <row r="317" spans="4:4" ht="14.5">
      <c r="D317" s="5"/>
    </row>
    <row r="318" spans="4:4" ht="14.5">
      <c r="D318" s="5"/>
    </row>
    <row r="319" spans="4:4" ht="14.5">
      <c r="D319" s="5"/>
    </row>
    <row r="320" spans="4:4" ht="14.5">
      <c r="D320" s="5"/>
    </row>
    <row r="321" spans="4:4" ht="14.5">
      <c r="D321" s="5"/>
    </row>
    <row r="322" spans="4:4" ht="14.5">
      <c r="D322" s="5"/>
    </row>
    <row r="323" spans="4:4" ht="14.5">
      <c r="D323" s="5"/>
    </row>
    <row r="324" spans="4:4" ht="14.5">
      <c r="D324" s="5"/>
    </row>
    <row r="325" spans="4:4" ht="14.5">
      <c r="D325" s="5"/>
    </row>
    <row r="326" spans="4:4" ht="14.5">
      <c r="D326" s="5"/>
    </row>
    <row r="327" spans="4:4" ht="14.5">
      <c r="D327" s="5"/>
    </row>
    <row r="328" spans="4:4" ht="14.5">
      <c r="D328" s="5"/>
    </row>
    <row r="329" spans="4:4" ht="14.5">
      <c r="D329" s="5"/>
    </row>
    <row r="330" spans="4:4" ht="14.5">
      <c r="D330" s="5"/>
    </row>
    <row r="331" spans="4:4" ht="14.5">
      <c r="D331" s="5"/>
    </row>
    <row r="332" spans="4:4" ht="14.5">
      <c r="D332" s="5"/>
    </row>
    <row r="333" spans="4:4" ht="14.5">
      <c r="D333" s="5"/>
    </row>
    <row r="334" spans="4:4" ht="14.5">
      <c r="D334" s="5"/>
    </row>
    <row r="335" spans="4:4" ht="14.5">
      <c r="D335" s="5"/>
    </row>
    <row r="336" spans="4:4" ht="14.5">
      <c r="D336" s="5"/>
    </row>
    <row r="337" spans="4:4" ht="14.5">
      <c r="D337" s="5"/>
    </row>
    <row r="338" spans="4:4" ht="14.5">
      <c r="D338" s="5"/>
    </row>
    <row r="339" spans="4:4" ht="14.5">
      <c r="D339" s="5"/>
    </row>
    <row r="340" spans="4:4" ht="14.5">
      <c r="D340" s="5"/>
    </row>
    <row r="341" spans="4:4" ht="14.5">
      <c r="D341" s="5"/>
    </row>
    <row r="342" spans="4:4" ht="14.5">
      <c r="D342" s="5"/>
    </row>
    <row r="343" spans="4:4" ht="14.5">
      <c r="D343" s="5"/>
    </row>
    <row r="344" spans="4:4" ht="14.5">
      <c r="D344" s="5"/>
    </row>
    <row r="345" spans="4:4" ht="14.5">
      <c r="D345" s="5"/>
    </row>
    <row r="346" spans="4:4" ht="14.5">
      <c r="D346" s="5"/>
    </row>
    <row r="347" spans="4:4" ht="14.5">
      <c r="D347" s="5"/>
    </row>
    <row r="348" spans="4:4" ht="14.5">
      <c r="D348" s="5"/>
    </row>
    <row r="349" spans="4:4" ht="14.5">
      <c r="D349" s="5"/>
    </row>
    <row r="350" spans="4:4" ht="14.5">
      <c r="D350" s="5"/>
    </row>
    <row r="351" spans="4:4" ht="14.5">
      <c r="D351" s="5"/>
    </row>
    <row r="352" spans="4:4" ht="14.5">
      <c r="D352" s="5"/>
    </row>
    <row r="353" spans="4:4" ht="14.5">
      <c r="D353" s="5"/>
    </row>
    <row r="354" spans="4:4" ht="14.5">
      <c r="D354" s="5"/>
    </row>
    <row r="355" spans="4:4" ht="14.5">
      <c r="D355" s="5"/>
    </row>
    <row r="356" spans="4:4" ht="14.5">
      <c r="D356" s="5"/>
    </row>
    <row r="357" spans="4:4" ht="14.5">
      <c r="D357" s="5"/>
    </row>
    <row r="358" spans="4:4" ht="14.5">
      <c r="D358" s="5"/>
    </row>
    <row r="359" spans="4:4" ht="14.5">
      <c r="D359" s="5"/>
    </row>
    <row r="360" spans="4:4" ht="14.5">
      <c r="D360" s="5"/>
    </row>
    <row r="361" spans="4:4" ht="14.5">
      <c r="D361" s="5"/>
    </row>
    <row r="362" spans="4:4" ht="14.5">
      <c r="D362" s="5"/>
    </row>
    <row r="363" spans="4:4" ht="14.5">
      <c r="D363" s="5"/>
    </row>
    <row r="364" spans="4:4" ht="14.5">
      <c r="D364" s="5"/>
    </row>
    <row r="365" spans="4:4" ht="14.5">
      <c r="D365" s="5"/>
    </row>
    <row r="366" spans="4:4" ht="14.5">
      <c r="D366" s="5"/>
    </row>
    <row r="367" spans="4:4" ht="14.5">
      <c r="D367" s="5"/>
    </row>
    <row r="368" spans="4:4" ht="14.5">
      <c r="D368" s="5"/>
    </row>
    <row r="369" spans="4:4" ht="14.5">
      <c r="D369" s="5"/>
    </row>
    <row r="370" spans="4:4" ht="14.5">
      <c r="D370" s="5"/>
    </row>
    <row r="371" spans="4:4" ht="14.5">
      <c r="D371" s="5"/>
    </row>
    <row r="372" spans="4:4" ht="14.5">
      <c r="D372" s="5"/>
    </row>
    <row r="373" spans="4:4" ht="14.5">
      <c r="D373" s="5"/>
    </row>
    <row r="374" spans="4:4" ht="14.5">
      <c r="D374" s="5"/>
    </row>
    <row r="375" spans="4:4" ht="14.5">
      <c r="D375" s="5"/>
    </row>
    <row r="376" spans="4:4" ht="14.5">
      <c r="D376" s="5"/>
    </row>
    <row r="377" spans="4:4" ht="14.5">
      <c r="D377" s="5"/>
    </row>
    <row r="378" spans="4:4" ht="14.5">
      <c r="D378" s="5"/>
    </row>
    <row r="379" spans="4:4" ht="14.5">
      <c r="D379" s="5"/>
    </row>
    <row r="380" spans="4:4" ht="14.5">
      <c r="D380" s="5"/>
    </row>
    <row r="381" spans="4:4" ht="14.5">
      <c r="D381" s="5"/>
    </row>
    <row r="382" spans="4:4" ht="14.5">
      <c r="D382" s="5"/>
    </row>
    <row r="383" spans="4:4" ht="14.5">
      <c r="D383" s="5"/>
    </row>
    <row r="384" spans="4:4" ht="14.5">
      <c r="D384" s="5"/>
    </row>
    <row r="385" spans="4:4" ht="14.5">
      <c r="D385" s="5"/>
    </row>
    <row r="386" spans="4:4" ht="14.5">
      <c r="D386" s="5"/>
    </row>
    <row r="387" spans="4:4" ht="14.5">
      <c r="D387" s="5"/>
    </row>
    <row r="388" spans="4:4" ht="14.5">
      <c r="D388" s="5"/>
    </row>
    <row r="389" spans="4:4" ht="14.5">
      <c r="D389" s="5"/>
    </row>
    <row r="390" spans="4:4" ht="14.5">
      <c r="D390" s="5"/>
    </row>
    <row r="391" spans="4:4" ht="14.5">
      <c r="D391" s="5"/>
    </row>
    <row r="392" spans="4:4" ht="14.5">
      <c r="D392" s="5"/>
    </row>
    <row r="393" spans="4:4" ht="14.5">
      <c r="D393" s="5"/>
    </row>
    <row r="394" spans="4:4" ht="14.5">
      <c r="D394" s="5"/>
    </row>
    <row r="395" spans="4:4" ht="14.5">
      <c r="D395" s="5"/>
    </row>
    <row r="396" spans="4:4" ht="14.5">
      <c r="D396" s="5"/>
    </row>
    <row r="397" spans="4:4" ht="14.5">
      <c r="D397" s="5"/>
    </row>
    <row r="398" spans="4:4" ht="14.5">
      <c r="D398" s="5"/>
    </row>
    <row r="399" spans="4:4" ht="14.5">
      <c r="D399" s="5"/>
    </row>
    <row r="400" spans="4:4" ht="14.5">
      <c r="D400" s="5"/>
    </row>
    <row r="401" spans="4:4" ht="14.5">
      <c r="D401" s="5"/>
    </row>
    <row r="402" spans="4:4" ht="14.5">
      <c r="D402" s="5"/>
    </row>
    <row r="403" spans="4:4" ht="14.5">
      <c r="D403" s="5"/>
    </row>
    <row r="404" spans="4:4" ht="14.5">
      <c r="D404" s="5"/>
    </row>
    <row r="405" spans="4:4" ht="14.5">
      <c r="D405" s="5"/>
    </row>
    <row r="406" spans="4:4" ht="14.5">
      <c r="D406" s="5"/>
    </row>
    <row r="407" spans="4:4" ht="14.5">
      <c r="D407" s="5"/>
    </row>
    <row r="408" spans="4:4" ht="14.5">
      <c r="D408" s="5"/>
    </row>
    <row r="409" spans="4:4" ht="14.5">
      <c r="D409" s="5"/>
    </row>
    <row r="410" spans="4:4" ht="14.5">
      <c r="D410" s="5"/>
    </row>
    <row r="411" spans="4:4" ht="14.5">
      <c r="D411" s="5"/>
    </row>
    <row r="412" spans="4:4" ht="14.5">
      <c r="D412" s="5"/>
    </row>
    <row r="413" spans="4:4" ht="14.5">
      <c r="D413" s="5"/>
    </row>
    <row r="414" spans="4:4" ht="14.5">
      <c r="D414" s="5"/>
    </row>
    <row r="415" spans="4:4" ht="14.5">
      <c r="D415" s="5"/>
    </row>
    <row r="416" spans="4:4" ht="14.5">
      <c r="D416" s="5"/>
    </row>
    <row r="417" spans="4:4" ht="14.5">
      <c r="D417" s="5"/>
    </row>
    <row r="418" spans="4:4" ht="14.5">
      <c r="D418" s="5"/>
    </row>
    <row r="419" spans="4:4" ht="14.5">
      <c r="D419" s="5"/>
    </row>
    <row r="420" spans="4:4" ht="14.5">
      <c r="D420" s="5"/>
    </row>
    <row r="421" spans="4:4" ht="14.5">
      <c r="D421" s="5"/>
    </row>
    <row r="422" spans="4:4" ht="14.5">
      <c r="D422" s="5"/>
    </row>
    <row r="423" spans="4:4" ht="14.5">
      <c r="D423" s="5"/>
    </row>
    <row r="424" spans="4:4" ht="14.5">
      <c r="D424" s="5"/>
    </row>
    <row r="425" spans="4:4" ht="14.5">
      <c r="D425" s="5"/>
    </row>
    <row r="426" spans="4:4" ht="14.5">
      <c r="D426" s="5"/>
    </row>
    <row r="427" spans="4:4" ht="14.5">
      <c r="D427" s="5"/>
    </row>
    <row r="428" spans="4:4" ht="14.5">
      <c r="D428" s="5"/>
    </row>
    <row r="429" spans="4:4" ht="14.5">
      <c r="D429" s="5"/>
    </row>
    <row r="430" spans="4:4" ht="14.5">
      <c r="D430" s="5"/>
    </row>
    <row r="431" spans="4:4" ht="14.5">
      <c r="D431" s="5"/>
    </row>
    <row r="432" spans="4:4" ht="14.5">
      <c r="D432" s="5"/>
    </row>
    <row r="433" spans="4:4" ht="14.5">
      <c r="D433" s="5"/>
    </row>
    <row r="434" spans="4:4" ht="14.5">
      <c r="D434" s="5"/>
    </row>
    <row r="435" spans="4:4" ht="14.5">
      <c r="D435" s="5"/>
    </row>
    <row r="436" spans="4:4" ht="14.5">
      <c r="D436" s="5"/>
    </row>
    <row r="437" spans="4:4" ht="14.5">
      <c r="D437" s="5"/>
    </row>
    <row r="438" spans="4:4" ht="14.5">
      <c r="D438" s="5"/>
    </row>
    <row r="439" spans="4:4" ht="14.5">
      <c r="D439" s="5"/>
    </row>
    <row r="440" spans="4:4" ht="14.5">
      <c r="D440" s="5"/>
    </row>
    <row r="441" spans="4:4" ht="14.5">
      <c r="D441" s="5"/>
    </row>
    <row r="442" spans="4:4" ht="14.5">
      <c r="D442" s="5"/>
    </row>
    <row r="443" spans="4:4" ht="14.5">
      <c r="D443" s="5"/>
    </row>
    <row r="444" spans="4:4" ht="14.5">
      <c r="D444" s="5"/>
    </row>
    <row r="445" spans="4:4" ht="14.5">
      <c r="D445" s="5"/>
    </row>
    <row r="446" spans="4:4" ht="14.5">
      <c r="D446" s="5"/>
    </row>
    <row r="447" spans="4:4" ht="14.5">
      <c r="D447" s="5"/>
    </row>
    <row r="448" spans="4:4" ht="14.5">
      <c r="D448" s="5"/>
    </row>
    <row r="449" spans="4:4" ht="14.5">
      <c r="D449" s="5"/>
    </row>
    <row r="450" spans="4:4" ht="14.5">
      <c r="D450" s="5"/>
    </row>
    <row r="451" spans="4:4" ht="14.5">
      <c r="D451" s="5"/>
    </row>
    <row r="452" spans="4:4" ht="14.5">
      <c r="D452" s="5"/>
    </row>
    <row r="453" spans="4:4" ht="14.5">
      <c r="D453" s="5"/>
    </row>
    <row r="454" spans="4:4" ht="14.5">
      <c r="D454" s="5"/>
    </row>
    <row r="455" spans="4:4" ht="14.5">
      <c r="D455" s="5"/>
    </row>
    <row r="456" spans="4:4" ht="14.5">
      <c r="D456" s="5"/>
    </row>
    <row r="457" spans="4:4" ht="14.5">
      <c r="D457" s="5"/>
    </row>
    <row r="458" spans="4:4" ht="14.5">
      <c r="D458" s="5"/>
    </row>
    <row r="459" spans="4:4" ht="14.5">
      <c r="D459" s="5"/>
    </row>
    <row r="460" spans="4:4" ht="14.5">
      <c r="D460" s="5"/>
    </row>
    <row r="461" spans="4:4" ht="14.5">
      <c r="D461" s="5"/>
    </row>
    <row r="462" spans="4:4" ht="14.5">
      <c r="D462" s="5"/>
    </row>
    <row r="463" spans="4:4" ht="14.5">
      <c r="D463" s="5"/>
    </row>
    <row r="464" spans="4:4" ht="14.5">
      <c r="D464" s="5"/>
    </row>
    <row r="465" spans="4:4" ht="14.5">
      <c r="D465" s="5"/>
    </row>
    <row r="466" spans="4:4" ht="14.5">
      <c r="D466" s="5"/>
    </row>
    <row r="467" spans="4:4" ht="14.5">
      <c r="D467" s="5"/>
    </row>
    <row r="468" spans="4:4" ht="14.5">
      <c r="D468" s="5"/>
    </row>
    <row r="469" spans="4:4" ht="14.5">
      <c r="D469" s="5"/>
    </row>
    <row r="470" spans="4:4" ht="14.5">
      <c r="D470" s="5"/>
    </row>
    <row r="471" spans="4:4" ht="14.5">
      <c r="D471" s="5"/>
    </row>
    <row r="472" spans="4:4" ht="14.5">
      <c r="D472" s="5"/>
    </row>
    <row r="473" spans="4:4" ht="14.5">
      <c r="D473" s="5"/>
    </row>
    <row r="474" spans="4:4" ht="14.5">
      <c r="D474" s="5"/>
    </row>
    <row r="475" spans="4:4" ht="14.5">
      <c r="D475" s="5"/>
    </row>
    <row r="476" spans="4:4" ht="14.5">
      <c r="D476" s="5"/>
    </row>
    <row r="477" spans="4:4" ht="14.5">
      <c r="D477" s="5"/>
    </row>
    <row r="478" spans="4:4" ht="14.5">
      <c r="D478" s="5"/>
    </row>
    <row r="479" spans="4:4" ht="14.5">
      <c r="D479" s="5"/>
    </row>
    <row r="480" spans="4:4" ht="14.5">
      <c r="D480" s="5"/>
    </row>
    <row r="481" spans="4:4" ht="14.5">
      <c r="D481" s="5"/>
    </row>
    <row r="482" spans="4:4" ht="14.5">
      <c r="D482" s="5"/>
    </row>
    <row r="483" spans="4:4" ht="14.5">
      <c r="D483" s="5"/>
    </row>
    <row r="484" spans="4:4" ht="14.5">
      <c r="D484" s="5"/>
    </row>
    <row r="485" spans="4:4" ht="14.5">
      <c r="D485" s="5"/>
    </row>
    <row r="486" spans="4:4" ht="14.5">
      <c r="D486" s="5"/>
    </row>
    <row r="487" spans="4:4" ht="14.5">
      <c r="D487" s="5"/>
    </row>
    <row r="488" spans="4:4" ht="14.5">
      <c r="D488" s="5"/>
    </row>
    <row r="489" spans="4:4" ht="14.5">
      <c r="D489" s="5"/>
    </row>
    <row r="490" spans="4:4" ht="14.5">
      <c r="D490" s="5"/>
    </row>
    <row r="491" spans="4:4" ht="14.5">
      <c r="D491" s="5"/>
    </row>
    <row r="492" spans="4:4" ht="14.5">
      <c r="D492" s="5"/>
    </row>
    <row r="493" spans="4:4" ht="14.5">
      <c r="D493" s="5"/>
    </row>
    <row r="494" spans="4:4" ht="14.5">
      <c r="D494" s="5"/>
    </row>
    <row r="495" spans="4:4" ht="14.5">
      <c r="D495" s="5"/>
    </row>
    <row r="496" spans="4:4" ht="14.5">
      <c r="D496" s="5"/>
    </row>
    <row r="497" spans="4:4" ht="14.5">
      <c r="D497" s="5"/>
    </row>
    <row r="498" spans="4:4" ht="14.5">
      <c r="D498" s="5"/>
    </row>
    <row r="499" spans="4:4" ht="14.5">
      <c r="D499" s="5"/>
    </row>
    <row r="500" spans="4:4" ht="14.5">
      <c r="D500" s="5"/>
    </row>
    <row r="501" spans="4:4" ht="14.5">
      <c r="D501" s="5"/>
    </row>
    <row r="502" spans="4:4" ht="14.5">
      <c r="D502" s="5"/>
    </row>
    <row r="503" spans="4:4" ht="14.5">
      <c r="D503" s="5"/>
    </row>
    <row r="504" spans="4:4" ht="14.5">
      <c r="D504" s="5"/>
    </row>
    <row r="505" spans="4:4" ht="14.5">
      <c r="D505" s="5"/>
    </row>
    <row r="506" spans="4:4" ht="14.5">
      <c r="D506" s="5"/>
    </row>
    <row r="507" spans="4:4" ht="14.5">
      <c r="D507" s="5"/>
    </row>
    <row r="508" spans="4:4" ht="14.5">
      <c r="D508" s="5"/>
    </row>
    <row r="509" spans="4:4" ht="14.5">
      <c r="D509" s="5"/>
    </row>
    <row r="510" spans="4:4" ht="14.5">
      <c r="D510" s="5"/>
    </row>
    <row r="511" spans="4:4" ht="14.5">
      <c r="D511" s="5"/>
    </row>
    <row r="512" spans="4:4" ht="14.5">
      <c r="D512" s="5"/>
    </row>
    <row r="513" spans="4:4" ht="14.5">
      <c r="D513" s="5"/>
    </row>
    <row r="514" spans="4:4" ht="14.5">
      <c r="D514" s="5"/>
    </row>
    <row r="515" spans="4:4" ht="14.5">
      <c r="D515" s="5"/>
    </row>
    <row r="516" spans="4:4" ht="14.5">
      <c r="D516" s="5"/>
    </row>
    <row r="517" spans="4:4" ht="14.5">
      <c r="D517" s="5"/>
    </row>
    <row r="518" spans="4:4" ht="14.5">
      <c r="D518" s="5"/>
    </row>
    <row r="519" spans="4:4" ht="14.5">
      <c r="D519" s="5"/>
    </row>
    <row r="520" spans="4:4" ht="14.5">
      <c r="D520" s="5"/>
    </row>
    <row r="521" spans="4:4" ht="14.5">
      <c r="D521" s="5"/>
    </row>
    <row r="522" spans="4:4" ht="14.5">
      <c r="D522" s="5"/>
    </row>
    <row r="523" spans="4:4" ht="14.5">
      <c r="D523" s="5"/>
    </row>
    <row r="524" spans="4:4" ht="14.5">
      <c r="D524" s="5"/>
    </row>
    <row r="525" spans="4:4" ht="14.5">
      <c r="D525" s="5"/>
    </row>
    <row r="526" spans="4:4" ht="14.5">
      <c r="D526" s="5"/>
    </row>
    <row r="527" spans="4:4" ht="14.5">
      <c r="D527" s="5"/>
    </row>
    <row r="528" spans="4:4" ht="14.5">
      <c r="D528" s="5"/>
    </row>
    <row r="529" spans="4:4" ht="14.5">
      <c r="D529" s="5"/>
    </row>
    <row r="530" spans="4:4" ht="14.5">
      <c r="D530" s="5"/>
    </row>
    <row r="531" spans="4:4" ht="14.5">
      <c r="D531" s="5"/>
    </row>
    <row r="532" spans="4:4" ht="14.5">
      <c r="D532" s="5"/>
    </row>
    <row r="533" spans="4:4" ht="14.5">
      <c r="D533" s="5"/>
    </row>
    <row r="534" spans="4:4" ht="14.5">
      <c r="D534" s="5"/>
    </row>
    <row r="535" spans="4:4" ht="14.5">
      <c r="D535" s="5"/>
    </row>
    <row r="536" spans="4:4" ht="14.5">
      <c r="D536" s="5"/>
    </row>
    <row r="537" spans="4:4" ht="14.5">
      <c r="D537" s="5"/>
    </row>
    <row r="538" spans="4:4" ht="14.5">
      <c r="D538" s="5"/>
    </row>
    <row r="539" spans="4:4" ht="14.5">
      <c r="D539" s="5"/>
    </row>
    <row r="540" spans="4:4" ht="14.5">
      <c r="D540" s="5"/>
    </row>
    <row r="541" spans="4:4" ht="14.5">
      <c r="D541" s="5"/>
    </row>
    <row r="542" spans="4:4" ht="14.5">
      <c r="D542" s="5"/>
    </row>
    <row r="543" spans="4:4" ht="14.5">
      <c r="D543" s="5"/>
    </row>
    <row r="544" spans="4:4" ht="14.5">
      <c r="D544" s="5"/>
    </row>
    <row r="545" spans="4:4" ht="14.5">
      <c r="D545" s="5"/>
    </row>
    <row r="546" spans="4:4" ht="14.5">
      <c r="D546" s="5"/>
    </row>
    <row r="547" spans="4:4" ht="14.5">
      <c r="D547" s="5"/>
    </row>
    <row r="548" spans="4:4" ht="14.5">
      <c r="D548" s="5"/>
    </row>
    <row r="549" spans="4:4" ht="14.5">
      <c r="D549" s="5"/>
    </row>
    <row r="550" spans="4:4" ht="14.5">
      <c r="D550" s="5"/>
    </row>
    <row r="551" spans="4:4" ht="14.5">
      <c r="D551" s="5"/>
    </row>
    <row r="552" spans="4:4" ht="14.5">
      <c r="D552" s="5"/>
    </row>
    <row r="553" spans="4:4" ht="14.5">
      <c r="D553" s="5"/>
    </row>
    <row r="554" spans="4:4" ht="14.5">
      <c r="D554" s="5"/>
    </row>
    <row r="555" spans="4:4" ht="14.5">
      <c r="D555" s="5"/>
    </row>
    <row r="556" spans="4:4" ht="14.5">
      <c r="D556" s="5"/>
    </row>
    <row r="557" spans="4:4" ht="14.5">
      <c r="D557" s="5"/>
    </row>
    <row r="558" spans="4:4" ht="14.5">
      <c r="D558" s="5"/>
    </row>
    <row r="559" spans="4:4" ht="14.5">
      <c r="D559" s="5"/>
    </row>
    <row r="560" spans="4:4" ht="14.5">
      <c r="D560" s="5"/>
    </row>
    <row r="561" spans="4:4" ht="14.5">
      <c r="D561" s="5"/>
    </row>
    <row r="562" spans="4:4" ht="14.5">
      <c r="D562" s="5"/>
    </row>
    <row r="563" spans="4:4" ht="14.5">
      <c r="D563" s="5"/>
    </row>
    <row r="564" spans="4:4" ht="14.5">
      <c r="D564" s="5"/>
    </row>
    <row r="565" spans="4:4" ht="14.5">
      <c r="D565" s="5"/>
    </row>
    <row r="566" spans="4:4" ht="14.5">
      <c r="D566" s="5"/>
    </row>
    <row r="567" spans="4:4" ht="14.5">
      <c r="D567" s="5"/>
    </row>
    <row r="568" spans="4:4" ht="14.5">
      <c r="D568" s="5"/>
    </row>
    <row r="569" spans="4:4" ht="14.5">
      <c r="D569" s="5"/>
    </row>
    <row r="570" spans="4:4" ht="14.5">
      <c r="D570" s="5"/>
    </row>
    <row r="571" spans="4:4" ht="14.5">
      <c r="D571" s="5"/>
    </row>
    <row r="572" spans="4:4" ht="14.5">
      <c r="D572" s="5"/>
    </row>
    <row r="573" spans="4:4" ht="14.5">
      <c r="D573" s="5"/>
    </row>
    <row r="574" spans="4:4" ht="14.5">
      <c r="D574" s="5"/>
    </row>
    <row r="575" spans="4:4" ht="14.5">
      <c r="D575" s="5"/>
    </row>
    <row r="576" spans="4:4" ht="14.5">
      <c r="D576" s="5"/>
    </row>
    <row r="577" spans="4:4" ht="14.5">
      <c r="D577" s="5"/>
    </row>
    <row r="578" spans="4:4" ht="14.5">
      <c r="D578" s="5"/>
    </row>
    <row r="579" spans="4:4" ht="14.5">
      <c r="D579" s="5"/>
    </row>
    <row r="580" spans="4:4" ht="14.5">
      <c r="D580" s="5"/>
    </row>
    <row r="581" spans="4:4" ht="14.5">
      <c r="D581" s="5"/>
    </row>
    <row r="582" spans="4:4" ht="14.5">
      <c r="D582" s="5"/>
    </row>
    <row r="583" spans="4:4" ht="14.5">
      <c r="D583" s="5"/>
    </row>
    <row r="584" spans="4:4" ht="14.5">
      <c r="D584" s="5"/>
    </row>
    <row r="585" spans="4:4" ht="14.5">
      <c r="D585" s="5"/>
    </row>
    <row r="586" spans="4:4" ht="14.5">
      <c r="D586" s="5"/>
    </row>
    <row r="587" spans="4:4" ht="14.5">
      <c r="D587" s="5"/>
    </row>
    <row r="588" spans="4:4" ht="14.5">
      <c r="D588" s="5"/>
    </row>
    <row r="589" spans="4:4" ht="14.5">
      <c r="D589" s="5"/>
    </row>
    <row r="590" spans="4:4" ht="14.5">
      <c r="D590" s="5"/>
    </row>
    <row r="591" spans="4:4" ht="14.5">
      <c r="D591" s="5"/>
    </row>
    <row r="592" spans="4:4" ht="14.5">
      <c r="D592" s="5"/>
    </row>
    <row r="593" spans="4:4" ht="14.5">
      <c r="D593" s="5"/>
    </row>
    <row r="594" spans="4:4" ht="14.5">
      <c r="D594" s="5"/>
    </row>
    <row r="595" spans="4:4" ht="14.5">
      <c r="D595" s="5"/>
    </row>
    <row r="596" spans="4:4" ht="14.5">
      <c r="D596" s="5"/>
    </row>
    <row r="597" spans="4:4" ht="14.5">
      <c r="D597" s="5"/>
    </row>
    <row r="598" spans="4:4" ht="14.5">
      <c r="D598" s="5"/>
    </row>
    <row r="599" spans="4:4" ht="14.5">
      <c r="D599" s="5"/>
    </row>
    <row r="600" spans="4:4" ht="14.5">
      <c r="D600" s="5"/>
    </row>
    <row r="601" spans="4:4" ht="14.5">
      <c r="D601" s="5"/>
    </row>
    <row r="602" spans="4:4" ht="14.5">
      <c r="D602" s="5"/>
    </row>
    <row r="603" spans="4:4" ht="14.5">
      <c r="D603" s="5"/>
    </row>
    <row r="604" spans="4:4" ht="14.5">
      <c r="D604" s="5"/>
    </row>
    <row r="605" spans="4:4" ht="14.5">
      <c r="D605" s="5"/>
    </row>
    <row r="606" spans="4:4" ht="14.5">
      <c r="D606" s="5"/>
    </row>
    <row r="607" spans="4:4" ht="14.5">
      <c r="D607" s="5"/>
    </row>
    <row r="608" spans="4:4" ht="14.5">
      <c r="D608" s="5"/>
    </row>
    <row r="609" spans="4:4" ht="14.5">
      <c r="D609" s="5"/>
    </row>
    <row r="610" spans="4:4" ht="14.5">
      <c r="D610" s="5"/>
    </row>
    <row r="611" spans="4:4" ht="14.5">
      <c r="D611" s="5"/>
    </row>
    <row r="612" spans="4:4" ht="14.5">
      <c r="D612" s="5"/>
    </row>
    <row r="613" spans="4:4" ht="14.5">
      <c r="D613" s="5"/>
    </row>
    <row r="614" spans="4:4" ht="14.5">
      <c r="D614" s="5"/>
    </row>
    <row r="615" spans="4:4" ht="14.5">
      <c r="D615" s="5"/>
    </row>
    <row r="616" spans="4:4" ht="14.5">
      <c r="D616" s="5"/>
    </row>
    <row r="617" spans="4:4" ht="14.5">
      <c r="D617" s="5"/>
    </row>
    <row r="618" spans="4:4" ht="14.5">
      <c r="D618" s="5"/>
    </row>
    <row r="619" spans="4:4" ht="14.5">
      <c r="D619" s="5"/>
    </row>
    <row r="620" spans="4:4" ht="14.5">
      <c r="D620" s="5"/>
    </row>
    <row r="621" spans="4:4" ht="14.5">
      <c r="D621" s="5"/>
    </row>
    <row r="622" spans="4:4" ht="14.5">
      <c r="D622" s="5"/>
    </row>
    <row r="623" spans="4:4" ht="14.5">
      <c r="D623" s="5"/>
    </row>
    <row r="624" spans="4:4" ht="14.5">
      <c r="D624" s="5"/>
    </row>
    <row r="625" spans="4:4" ht="14.5">
      <c r="D625" s="5"/>
    </row>
    <row r="626" spans="4:4" ht="14.5">
      <c r="D626" s="5"/>
    </row>
    <row r="627" spans="4:4" ht="14.5">
      <c r="D627" s="5"/>
    </row>
    <row r="628" spans="4:4" ht="14.5">
      <c r="D628" s="5"/>
    </row>
    <row r="629" spans="4:4" ht="14.5">
      <c r="D629" s="5"/>
    </row>
    <row r="630" spans="4:4" ht="14.5">
      <c r="D630" s="5"/>
    </row>
    <row r="631" spans="4:4" ht="14.5">
      <c r="D631" s="5"/>
    </row>
    <row r="632" spans="4:4" ht="14.5">
      <c r="D632" s="5"/>
    </row>
    <row r="633" spans="4:4" ht="14.5">
      <c r="D633" s="5"/>
    </row>
    <row r="634" spans="4:4" ht="14.5">
      <c r="D634" s="5"/>
    </row>
    <row r="635" spans="4:4" ht="14.5">
      <c r="D635" s="5"/>
    </row>
    <row r="636" spans="4:4" ht="14.5">
      <c r="D636" s="5"/>
    </row>
    <row r="637" spans="4:4" ht="14.5">
      <c r="D637" s="5"/>
    </row>
    <row r="638" spans="4:4" ht="14.5">
      <c r="D638" s="5"/>
    </row>
    <row r="639" spans="4:4" ht="14.5">
      <c r="D639" s="5"/>
    </row>
    <row r="640" spans="4:4" ht="14.5">
      <c r="D640" s="5"/>
    </row>
    <row r="641" spans="4:4" ht="14.5">
      <c r="D641" s="5"/>
    </row>
    <row r="642" spans="4:4" ht="14.5">
      <c r="D642" s="5"/>
    </row>
    <row r="643" spans="4:4" ht="14.5">
      <c r="D643" s="5"/>
    </row>
    <row r="644" spans="4:4" ht="14.5">
      <c r="D644" s="5"/>
    </row>
    <row r="645" spans="4:4" ht="14.5">
      <c r="D645" s="5"/>
    </row>
    <row r="646" spans="4:4" ht="14.5">
      <c r="D646" s="5"/>
    </row>
    <row r="647" spans="4:4" ht="14.5">
      <c r="D647" s="5"/>
    </row>
    <row r="648" spans="4:4" ht="14.5">
      <c r="D648" s="5"/>
    </row>
    <row r="649" spans="4:4" ht="14.5">
      <c r="D649" s="5"/>
    </row>
    <row r="650" spans="4:4" ht="14.5">
      <c r="D650" s="5"/>
    </row>
    <row r="651" spans="4:4" ht="14.5">
      <c r="D651" s="5"/>
    </row>
    <row r="652" spans="4:4" ht="14.5">
      <c r="D652" s="5"/>
    </row>
    <row r="653" spans="4:4" ht="14.5">
      <c r="D653" s="5"/>
    </row>
    <row r="654" spans="4:4" ht="14.5">
      <c r="D654" s="5"/>
    </row>
    <row r="655" spans="4:4" ht="14.5">
      <c r="D655" s="5"/>
    </row>
    <row r="656" spans="4:4" ht="14.5">
      <c r="D656" s="5"/>
    </row>
    <row r="657" spans="4:4" ht="14.5">
      <c r="D657" s="5"/>
    </row>
    <row r="658" spans="4:4" ht="14.5">
      <c r="D658" s="5"/>
    </row>
    <row r="659" spans="4:4" ht="14.5">
      <c r="D659" s="5"/>
    </row>
    <row r="660" spans="4:4" ht="14.5">
      <c r="D660" s="5"/>
    </row>
    <row r="661" spans="4:4" ht="14.5">
      <c r="D661" s="5"/>
    </row>
    <row r="662" spans="4:4" ht="14.5">
      <c r="D662" s="5"/>
    </row>
    <row r="663" spans="4:4" ht="14.5">
      <c r="D663" s="5"/>
    </row>
    <row r="664" spans="4:4" ht="14.5">
      <c r="D664" s="5"/>
    </row>
    <row r="665" spans="4:4" ht="14.5">
      <c r="D665" s="5"/>
    </row>
    <row r="666" spans="4:4" ht="14.5">
      <c r="D666" s="5"/>
    </row>
    <row r="667" spans="4:4" ht="14.5">
      <c r="D667" s="5"/>
    </row>
    <row r="668" spans="4:4" ht="14.5">
      <c r="D668" s="5"/>
    </row>
    <row r="669" spans="4:4" ht="14.5">
      <c r="D669" s="5"/>
    </row>
    <row r="670" spans="4:4" ht="14.5">
      <c r="D670" s="5"/>
    </row>
    <row r="671" spans="4:4" ht="14.5">
      <c r="D671" s="5"/>
    </row>
    <row r="672" spans="4:4" ht="14.5">
      <c r="D672" s="5"/>
    </row>
    <row r="673" spans="4:4" ht="14.5">
      <c r="D673" s="5"/>
    </row>
    <row r="674" spans="4:4" ht="14.5">
      <c r="D674" s="5"/>
    </row>
    <row r="675" spans="4:4" ht="14.5">
      <c r="D675" s="5"/>
    </row>
    <row r="676" spans="4:4" ht="14.5">
      <c r="D676" s="5"/>
    </row>
    <row r="677" spans="4:4" ht="14.5">
      <c r="D677" s="5"/>
    </row>
    <row r="678" spans="4:4" ht="14.5">
      <c r="D678" s="5"/>
    </row>
    <row r="679" spans="4:4" ht="14.5">
      <c r="D679" s="5"/>
    </row>
    <row r="680" spans="4:4" ht="14.5">
      <c r="D680" s="5"/>
    </row>
    <row r="681" spans="4:4" ht="14.5">
      <c r="D681" s="5"/>
    </row>
    <row r="682" spans="4:4" ht="14.5">
      <c r="D682" s="5"/>
    </row>
    <row r="683" spans="4:4" ht="14.5">
      <c r="D683" s="5"/>
    </row>
    <row r="684" spans="4:4" ht="14.5">
      <c r="D684" s="5"/>
    </row>
    <row r="685" spans="4:4" ht="14.5">
      <c r="D685" s="5"/>
    </row>
    <row r="686" spans="4:4" ht="14.5">
      <c r="D686" s="5"/>
    </row>
    <row r="687" spans="4:4" ht="14.5">
      <c r="D687" s="5"/>
    </row>
    <row r="688" spans="4:4" ht="14.5">
      <c r="D688" s="5"/>
    </row>
    <row r="689" spans="4:4" ht="14.5">
      <c r="D689" s="5"/>
    </row>
    <row r="690" spans="4:4" ht="14.5">
      <c r="D690" s="5"/>
    </row>
    <row r="691" spans="4:4" ht="14.5">
      <c r="D691" s="5"/>
    </row>
    <row r="692" spans="4:4" ht="14.5">
      <c r="D692" s="5"/>
    </row>
    <row r="693" spans="4:4" ht="14.5">
      <c r="D693" s="5"/>
    </row>
    <row r="694" spans="4:4" ht="14.5">
      <c r="D694" s="5"/>
    </row>
    <row r="695" spans="4:4" ht="14.5">
      <c r="D695" s="5"/>
    </row>
    <row r="696" spans="4:4" ht="14.5">
      <c r="D696" s="5"/>
    </row>
    <row r="697" spans="4:4" ht="14.5">
      <c r="D697" s="5"/>
    </row>
    <row r="698" spans="4:4" ht="14.5">
      <c r="D698" s="5"/>
    </row>
    <row r="699" spans="4:4" ht="14.5">
      <c r="D699" s="5"/>
    </row>
    <row r="700" spans="4:4" ht="14.5">
      <c r="D700" s="5"/>
    </row>
    <row r="701" spans="4:4" ht="14.5">
      <c r="D701" s="5"/>
    </row>
    <row r="702" spans="4:4" ht="14.5">
      <c r="D702" s="5"/>
    </row>
    <row r="703" spans="4:4" ht="14.5">
      <c r="D703" s="5"/>
    </row>
    <row r="704" spans="4:4" ht="14.5">
      <c r="D704" s="5"/>
    </row>
    <row r="705" spans="4:4" ht="14.5">
      <c r="D705" s="5"/>
    </row>
    <row r="706" spans="4:4" ht="14.5">
      <c r="D706" s="5"/>
    </row>
    <row r="707" spans="4:4" ht="14.5">
      <c r="D707" s="5"/>
    </row>
    <row r="708" spans="4:4" ht="14.5">
      <c r="D708" s="5"/>
    </row>
    <row r="709" spans="4:4" ht="14.5">
      <c r="D709" s="5"/>
    </row>
    <row r="710" spans="4:4" ht="14.5">
      <c r="D710" s="5"/>
    </row>
    <row r="711" spans="4:4" ht="14.5">
      <c r="D711" s="5"/>
    </row>
    <row r="712" spans="4:4" ht="14.5">
      <c r="D712" s="5"/>
    </row>
    <row r="713" spans="4:4" ht="14.5">
      <c r="D713" s="5"/>
    </row>
    <row r="714" spans="4:4" ht="14.5">
      <c r="D714" s="5"/>
    </row>
    <row r="715" spans="4:4" ht="14.5">
      <c r="D715" s="5"/>
    </row>
    <row r="716" spans="4:4" ht="14.5">
      <c r="D716" s="5"/>
    </row>
    <row r="717" spans="4:4" ht="14.5">
      <c r="D717" s="5"/>
    </row>
    <row r="718" spans="4:4" ht="14.5">
      <c r="D718" s="5"/>
    </row>
    <row r="719" spans="4:4" ht="14.5">
      <c r="D719" s="5"/>
    </row>
    <row r="720" spans="4:4" ht="14.5">
      <c r="D720" s="5"/>
    </row>
    <row r="721" spans="4:4" ht="14.5">
      <c r="D721" s="5"/>
    </row>
    <row r="722" spans="4:4" ht="14.5">
      <c r="D722" s="5"/>
    </row>
    <row r="723" spans="4:4" ht="14.5">
      <c r="D723" s="5"/>
    </row>
    <row r="724" spans="4:4" ht="14.5">
      <c r="D724" s="5"/>
    </row>
    <row r="725" spans="4:4" ht="14.5">
      <c r="D725" s="5"/>
    </row>
    <row r="726" spans="4:4" ht="14.5">
      <c r="D726" s="5"/>
    </row>
    <row r="727" spans="4:4" ht="14.5">
      <c r="D727" s="5"/>
    </row>
    <row r="728" spans="4:4" ht="14.5">
      <c r="D728" s="5"/>
    </row>
    <row r="729" spans="4:4" ht="14.5">
      <c r="D729" s="5"/>
    </row>
    <row r="730" spans="4:4" ht="14.5">
      <c r="D730" s="5"/>
    </row>
    <row r="731" spans="4:4" ht="14.5">
      <c r="D731" s="5"/>
    </row>
    <row r="732" spans="4:4" ht="14.5">
      <c r="D732" s="5"/>
    </row>
    <row r="733" spans="4:4" ht="14.5">
      <c r="D733" s="5"/>
    </row>
    <row r="734" spans="4:4" ht="14.5">
      <c r="D734" s="5"/>
    </row>
    <row r="735" spans="4:4" ht="14.5">
      <c r="D735" s="5"/>
    </row>
    <row r="736" spans="4:4" ht="14.5">
      <c r="D736" s="5"/>
    </row>
    <row r="737" spans="4:4" ht="14.5">
      <c r="D737" s="5"/>
    </row>
    <row r="738" spans="4:4" ht="14.5">
      <c r="D738" s="5"/>
    </row>
    <row r="739" spans="4:4" ht="14.5">
      <c r="D739" s="5"/>
    </row>
    <row r="740" spans="4:4" ht="14.5">
      <c r="D740" s="5"/>
    </row>
    <row r="741" spans="4:4" ht="14.5">
      <c r="D741" s="5"/>
    </row>
    <row r="742" spans="4:4" ht="14.5">
      <c r="D742" s="5"/>
    </row>
    <row r="743" spans="4:4" ht="14.5">
      <c r="D743" s="5"/>
    </row>
    <row r="744" spans="4:4" ht="14.5">
      <c r="D744" s="5"/>
    </row>
    <row r="745" spans="4:4" ht="14.5">
      <c r="D745" s="5"/>
    </row>
    <row r="746" spans="4:4" ht="14.5">
      <c r="D746" s="5"/>
    </row>
    <row r="747" spans="4:4" ht="14.5">
      <c r="D747" s="5"/>
    </row>
    <row r="748" spans="4:4" ht="14.5">
      <c r="D748" s="5"/>
    </row>
    <row r="749" spans="4:4" ht="14.5">
      <c r="D749" s="5"/>
    </row>
    <row r="750" spans="4:4" ht="14.5">
      <c r="D750" s="5"/>
    </row>
    <row r="751" spans="4:4" ht="14.5">
      <c r="D751" s="5"/>
    </row>
    <row r="752" spans="4:4" ht="14.5">
      <c r="D752" s="5"/>
    </row>
    <row r="753" spans="4:4" ht="14.5">
      <c r="D753" s="5"/>
    </row>
    <row r="754" spans="4:4" ht="14.5">
      <c r="D754" s="5"/>
    </row>
    <row r="755" spans="4:4" ht="14.5">
      <c r="D755" s="5"/>
    </row>
    <row r="756" spans="4:4" ht="14.5">
      <c r="D756" s="5"/>
    </row>
    <row r="757" spans="4:4" ht="14.5">
      <c r="D757" s="5"/>
    </row>
    <row r="758" spans="4:4" ht="14.5">
      <c r="D758" s="5"/>
    </row>
    <row r="759" spans="4:4" ht="14.5">
      <c r="D759" s="5"/>
    </row>
    <row r="760" spans="4:4" ht="14.5">
      <c r="D760" s="5"/>
    </row>
    <row r="761" spans="4:4" ht="14.5">
      <c r="D761" s="5"/>
    </row>
    <row r="762" spans="4:4" ht="14.5">
      <c r="D762" s="5"/>
    </row>
    <row r="763" spans="4:4" ht="14.5">
      <c r="D763" s="5"/>
    </row>
    <row r="764" spans="4:4" ht="14.5">
      <c r="D764" s="5"/>
    </row>
    <row r="765" spans="4:4" ht="14.5">
      <c r="D765" s="5"/>
    </row>
    <row r="766" spans="4:4" ht="14.5">
      <c r="D766" s="5"/>
    </row>
    <row r="767" spans="4:4" ht="14.5">
      <c r="D767" s="5"/>
    </row>
    <row r="768" spans="4:4" ht="14.5">
      <c r="D768" s="5"/>
    </row>
    <row r="769" spans="4:4" ht="14.5">
      <c r="D769" s="5"/>
    </row>
    <row r="770" spans="4:4" ht="14.5">
      <c r="D770" s="5"/>
    </row>
    <row r="771" spans="4:4" ht="14.5">
      <c r="D771" s="5"/>
    </row>
    <row r="772" spans="4:4" ht="14.5">
      <c r="D772" s="5"/>
    </row>
    <row r="773" spans="4:4" ht="14.5">
      <c r="D773" s="5"/>
    </row>
    <row r="774" spans="4:4" ht="14.5">
      <c r="D774" s="5"/>
    </row>
    <row r="775" spans="4:4" ht="14.5">
      <c r="D775" s="5"/>
    </row>
    <row r="776" spans="4:4" ht="14.5">
      <c r="D776" s="5"/>
    </row>
    <row r="777" spans="4:4" ht="14.5">
      <c r="D777" s="5"/>
    </row>
    <row r="778" spans="4:4" ht="14.5">
      <c r="D778" s="5"/>
    </row>
    <row r="779" spans="4:4" ht="14.5">
      <c r="D779" s="5"/>
    </row>
    <row r="780" spans="4:4" ht="14.5">
      <c r="D780" s="5"/>
    </row>
    <row r="781" spans="4:4" ht="14.5">
      <c r="D781" s="5"/>
    </row>
    <row r="782" spans="4:4" ht="14.5">
      <c r="D782" s="5"/>
    </row>
    <row r="783" spans="4:4" ht="14.5">
      <c r="D783" s="5"/>
    </row>
    <row r="784" spans="4:4" ht="14.5">
      <c r="D784" s="5"/>
    </row>
    <row r="785" spans="4:4" ht="14.5">
      <c r="D785" s="5"/>
    </row>
    <row r="786" spans="4:4" ht="14.5">
      <c r="D786" s="5"/>
    </row>
    <row r="787" spans="4:4" ht="14.5">
      <c r="D787" s="5"/>
    </row>
    <row r="788" spans="4:4" ht="14.5">
      <c r="D788" s="5"/>
    </row>
    <row r="789" spans="4:4" ht="14.5">
      <c r="D789" s="5"/>
    </row>
    <row r="790" spans="4:4" ht="14.5">
      <c r="D790" s="5"/>
    </row>
    <row r="791" spans="4:4" ht="14.5">
      <c r="D791" s="5"/>
    </row>
    <row r="792" spans="4:4" ht="14.5">
      <c r="D792" s="5"/>
    </row>
    <row r="793" spans="4:4" ht="14.5">
      <c r="D793" s="5"/>
    </row>
    <row r="794" spans="4:4" ht="14.5">
      <c r="D794" s="5"/>
    </row>
    <row r="795" spans="4:4" ht="14.5">
      <c r="D795" s="5"/>
    </row>
    <row r="796" spans="4:4" ht="14.5">
      <c r="D796" s="5"/>
    </row>
    <row r="797" spans="4:4" ht="14.5">
      <c r="D797" s="5"/>
    </row>
    <row r="798" spans="4:4" ht="14.5">
      <c r="D798" s="5"/>
    </row>
    <row r="799" spans="4:4" ht="14.5">
      <c r="D799" s="5"/>
    </row>
    <row r="800" spans="4:4" ht="14.5">
      <c r="D800" s="5"/>
    </row>
    <row r="801" spans="4:4" ht="14.5">
      <c r="D801" s="5"/>
    </row>
    <row r="802" spans="4:4" ht="14.5">
      <c r="D802" s="5"/>
    </row>
    <row r="803" spans="4:4" ht="14.5">
      <c r="D803" s="5"/>
    </row>
    <row r="804" spans="4:4" ht="14.5">
      <c r="D804" s="5"/>
    </row>
    <row r="805" spans="4:4" ht="14.5">
      <c r="D805" s="5"/>
    </row>
    <row r="806" spans="4:4" ht="14.5">
      <c r="D806" s="5"/>
    </row>
    <row r="807" spans="4:4" ht="14.5">
      <c r="D807" s="5"/>
    </row>
    <row r="808" spans="4:4" ht="14.5">
      <c r="D808" s="5"/>
    </row>
    <row r="809" spans="4:4" ht="14.5">
      <c r="D809" s="5"/>
    </row>
    <row r="810" spans="4:4" ht="14.5">
      <c r="D810" s="5"/>
    </row>
    <row r="811" spans="4:4" ht="14.5">
      <c r="D811" s="5"/>
    </row>
    <row r="812" spans="4:4" ht="14.5">
      <c r="D812" s="5"/>
    </row>
    <row r="813" spans="4:4" ht="14.5">
      <c r="D813" s="5"/>
    </row>
    <row r="814" spans="4:4" ht="14.5">
      <c r="D814" s="5"/>
    </row>
    <row r="815" spans="4:4" ht="14.5">
      <c r="D815" s="5"/>
    </row>
    <row r="816" spans="4:4" ht="14.5">
      <c r="D816" s="5"/>
    </row>
    <row r="817" spans="4:4" ht="14.5">
      <c r="D817" s="5"/>
    </row>
    <row r="818" spans="4:4" ht="14.5">
      <c r="D818" s="5"/>
    </row>
    <row r="819" spans="4:4" ht="14.5">
      <c r="D819" s="5"/>
    </row>
    <row r="820" spans="4:4" ht="14.5">
      <c r="D820" s="5"/>
    </row>
    <row r="821" spans="4:4" ht="14.5">
      <c r="D821" s="5"/>
    </row>
    <row r="822" spans="4:4" ht="14.5">
      <c r="D822" s="5"/>
    </row>
    <row r="823" spans="4:4" ht="14.5">
      <c r="D823" s="5"/>
    </row>
    <row r="824" spans="4:4" ht="14.5">
      <c r="D824" s="5"/>
    </row>
    <row r="825" spans="4:4" ht="14.5">
      <c r="D825" s="5"/>
    </row>
    <row r="826" spans="4:4" ht="14.5">
      <c r="D826" s="5"/>
    </row>
    <row r="827" spans="4:4" ht="14.5">
      <c r="D827" s="5"/>
    </row>
    <row r="828" spans="4:4" ht="14.5">
      <c r="D828" s="5"/>
    </row>
    <row r="829" spans="4:4" ht="14.5">
      <c r="D829" s="5"/>
    </row>
    <row r="830" spans="4:4" ht="14.5">
      <c r="D830" s="5"/>
    </row>
    <row r="831" spans="4:4" ht="14.5">
      <c r="D831" s="5"/>
    </row>
    <row r="832" spans="4:4" ht="14.5">
      <c r="D832" s="5"/>
    </row>
    <row r="833" spans="4:4" ht="14.5">
      <c r="D833" s="5"/>
    </row>
    <row r="834" spans="4:4" ht="14.5">
      <c r="D834" s="5"/>
    </row>
    <row r="835" spans="4:4" ht="14.5">
      <c r="D835" s="5"/>
    </row>
    <row r="836" spans="4:4" ht="14.5">
      <c r="D836" s="5"/>
    </row>
    <row r="837" spans="4:4" ht="14.5">
      <c r="D837" s="5"/>
    </row>
    <row r="838" spans="4:4" ht="14.5">
      <c r="D838" s="5"/>
    </row>
    <row r="839" spans="4:4" ht="14.5">
      <c r="D839" s="5"/>
    </row>
    <row r="840" spans="4:4" ht="14.5">
      <c r="D840" s="5"/>
    </row>
    <row r="841" spans="4:4" ht="14.5">
      <c r="D841" s="5"/>
    </row>
    <row r="842" spans="4:4" ht="14.5">
      <c r="D842" s="5"/>
    </row>
    <row r="843" spans="4:4" ht="14.5">
      <c r="D843" s="5"/>
    </row>
    <row r="844" spans="4:4" ht="14.5">
      <c r="D844" s="5"/>
    </row>
    <row r="845" spans="4:4" ht="14.5">
      <c r="D845" s="5"/>
    </row>
    <row r="846" spans="4:4" ht="14.5">
      <c r="D846" s="5"/>
    </row>
    <row r="847" spans="4:4" ht="14.5">
      <c r="D847" s="5"/>
    </row>
    <row r="848" spans="4:4" ht="14.5">
      <c r="D848" s="5"/>
    </row>
    <row r="849" spans="4:4" ht="14.5">
      <c r="D849" s="5"/>
    </row>
    <row r="850" spans="4:4" ht="14.5">
      <c r="D850" s="5"/>
    </row>
    <row r="851" spans="4:4" ht="14.5">
      <c r="D851" s="5"/>
    </row>
    <row r="852" spans="4:4" ht="14.5">
      <c r="D852" s="5"/>
    </row>
    <row r="853" spans="4:4" ht="14.5">
      <c r="D853" s="5"/>
    </row>
    <row r="854" spans="4:4" ht="14.5">
      <c r="D854" s="5"/>
    </row>
    <row r="855" spans="4:4" ht="14.5">
      <c r="D855" s="5"/>
    </row>
    <row r="856" spans="4:4" ht="14.5">
      <c r="D856" s="5"/>
    </row>
    <row r="857" spans="4:4" ht="14.5">
      <c r="D857" s="5"/>
    </row>
    <row r="858" spans="4:4" ht="14.5">
      <c r="D858" s="5"/>
    </row>
    <row r="859" spans="4:4" ht="14.5">
      <c r="D859" s="5"/>
    </row>
    <row r="860" spans="4:4" ht="14.5">
      <c r="D860" s="5"/>
    </row>
    <row r="861" spans="4:4" ht="14.5">
      <c r="D861" s="5"/>
    </row>
    <row r="862" spans="4:4" ht="14.5">
      <c r="D862" s="5"/>
    </row>
    <row r="863" spans="4:4" ht="14.5">
      <c r="D863" s="5"/>
    </row>
    <row r="864" spans="4:4" ht="14.5">
      <c r="D864" s="5"/>
    </row>
    <row r="865" spans="4:4" ht="14.5">
      <c r="D865" s="5"/>
    </row>
    <row r="866" spans="4:4" ht="14.5">
      <c r="D866" s="5"/>
    </row>
    <row r="867" spans="4:4" ht="14.5">
      <c r="D867" s="5"/>
    </row>
    <row r="868" spans="4:4" ht="14.5">
      <c r="D868" s="5"/>
    </row>
    <row r="869" spans="4:4" ht="14.5">
      <c r="D869" s="5"/>
    </row>
    <row r="870" spans="4:4" ht="14.5">
      <c r="D870" s="5"/>
    </row>
    <row r="871" spans="4:4" ht="14.5">
      <c r="D871" s="5"/>
    </row>
    <row r="872" spans="4:4" ht="14.5">
      <c r="D872" s="5"/>
    </row>
    <row r="873" spans="4:4" ht="14.5">
      <c r="D873" s="5"/>
    </row>
    <row r="874" spans="4:4" ht="14.5">
      <c r="D874" s="5"/>
    </row>
    <row r="875" spans="4:4" ht="14.5">
      <c r="D875" s="5"/>
    </row>
    <row r="876" spans="4:4" ht="14.5">
      <c r="D876" s="5"/>
    </row>
    <row r="877" spans="4:4" ht="14.5">
      <c r="D877" s="5"/>
    </row>
    <row r="878" spans="4:4" ht="14.5">
      <c r="D878" s="5"/>
    </row>
    <row r="879" spans="4:4" ht="14.5">
      <c r="D879" s="5"/>
    </row>
    <row r="880" spans="4:4" ht="14.5">
      <c r="D880" s="5"/>
    </row>
    <row r="881" spans="4:4" ht="14.5">
      <c r="D881" s="5"/>
    </row>
    <row r="882" spans="4:4" ht="14.5">
      <c r="D882" s="5"/>
    </row>
    <row r="883" spans="4:4" ht="14.5">
      <c r="D883" s="5"/>
    </row>
    <row r="884" spans="4:4" ht="14.5">
      <c r="D884" s="5"/>
    </row>
    <row r="885" spans="4:4" ht="14.5">
      <c r="D885" s="5"/>
    </row>
    <row r="886" spans="4:4" ht="14.5">
      <c r="D886" s="5"/>
    </row>
    <row r="887" spans="4:4" ht="14.5">
      <c r="D887" s="5"/>
    </row>
    <row r="888" spans="4:4" ht="14.5">
      <c r="D888" s="5"/>
    </row>
    <row r="889" spans="4:4" ht="14.5">
      <c r="D889" s="5"/>
    </row>
    <row r="890" spans="4:4" ht="14.5">
      <c r="D890" s="5"/>
    </row>
    <row r="891" spans="4:4" ht="14.5">
      <c r="D891" s="5"/>
    </row>
    <row r="892" spans="4:4" ht="14.5">
      <c r="D892" s="5"/>
    </row>
    <row r="893" spans="4:4" ht="14.5">
      <c r="D893" s="5"/>
    </row>
    <row r="894" spans="4:4" ht="14.5">
      <c r="D894" s="5"/>
    </row>
    <row r="895" spans="4:4" ht="14.5">
      <c r="D895" s="5"/>
    </row>
    <row r="896" spans="4:4" ht="14.5">
      <c r="D896" s="5"/>
    </row>
    <row r="897" spans="4:4" ht="14.5">
      <c r="D897" s="5"/>
    </row>
    <row r="898" spans="4:4" ht="14.5">
      <c r="D898" s="5"/>
    </row>
    <row r="899" spans="4:4" ht="14.5">
      <c r="D899" s="5"/>
    </row>
    <row r="900" spans="4:4" ht="14.5">
      <c r="D900" s="5"/>
    </row>
    <row r="901" spans="4:4" ht="14.5">
      <c r="D901" s="5"/>
    </row>
    <row r="902" spans="4:4" ht="14.5">
      <c r="D902" s="5"/>
    </row>
    <row r="903" spans="4:4" ht="14.5">
      <c r="D903" s="5"/>
    </row>
    <row r="904" spans="4:4" ht="14.5">
      <c r="D904" s="5"/>
    </row>
    <row r="905" spans="4:4" ht="14.5">
      <c r="D905" s="5"/>
    </row>
    <row r="906" spans="4:4" ht="14.5">
      <c r="D906" s="5"/>
    </row>
    <row r="907" spans="4:4" ht="14.5">
      <c r="D907" s="5"/>
    </row>
    <row r="908" spans="4:4" ht="14.5">
      <c r="D908" s="5"/>
    </row>
    <row r="909" spans="4:4" ht="14.5">
      <c r="D909" s="5"/>
    </row>
    <row r="910" spans="4:4" ht="14.5">
      <c r="D910" s="5"/>
    </row>
    <row r="911" spans="4:4" ht="14.5">
      <c r="D911" s="5"/>
    </row>
    <row r="912" spans="4:4" ht="14.5">
      <c r="D912" s="5"/>
    </row>
    <row r="913" spans="4:4" ht="14.5">
      <c r="D913" s="5"/>
    </row>
    <row r="914" spans="4:4" ht="14.5">
      <c r="D914" s="5"/>
    </row>
    <row r="915" spans="4:4" ht="14.5">
      <c r="D915" s="5"/>
    </row>
    <row r="916" spans="4:4" ht="14.5">
      <c r="D916" s="5"/>
    </row>
    <row r="917" spans="4:4" ht="14.5">
      <c r="D917" s="5"/>
    </row>
    <row r="918" spans="4:4" ht="14.5">
      <c r="D918" s="5"/>
    </row>
    <row r="919" spans="4:4" ht="14.5">
      <c r="D919" s="5"/>
    </row>
    <row r="920" spans="4:4" ht="14.5">
      <c r="D920" s="5"/>
    </row>
    <row r="921" spans="4:4" ht="14.5">
      <c r="D921" s="5"/>
    </row>
    <row r="922" spans="4:4" ht="14.5">
      <c r="D922" s="5"/>
    </row>
    <row r="923" spans="4:4" ht="14.5">
      <c r="D923" s="5"/>
    </row>
    <row r="924" spans="4:4" ht="14.5">
      <c r="D924" s="5"/>
    </row>
    <row r="925" spans="4:4" ht="14.5">
      <c r="D925" s="5"/>
    </row>
    <row r="926" spans="4:4" ht="14.5">
      <c r="D926" s="5"/>
    </row>
    <row r="927" spans="4:4" ht="14.5">
      <c r="D927" s="5"/>
    </row>
    <row r="928" spans="4:4" ht="14.5">
      <c r="D928" s="5"/>
    </row>
    <row r="929" spans="4:4" ht="14.5">
      <c r="D929" s="5"/>
    </row>
    <row r="930" spans="4:4" ht="14.5">
      <c r="D930" s="5"/>
    </row>
    <row r="931" spans="4:4" ht="14.5">
      <c r="D931" s="5"/>
    </row>
    <row r="932" spans="4:4" ht="14.5">
      <c r="D932" s="5"/>
    </row>
    <row r="933" spans="4:4" ht="14.5">
      <c r="D933" s="5"/>
    </row>
    <row r="934" spans="4:4" ht="14.5">
      <c r="D934" s="5"/>
    </row>
    <row r="935" spans="4:4" ht="14.5">
      <c r="D935" s="5"/>
    </row>
    <row r="936" spans="4:4" ht="14.5">
      <c r="D936" s="5"/>
    </row>
    <row r="937" spans="4:4" ht="14.5">
      <c r="D937" s="5"/>
    </row>
    <row r="938" spans="4:4" ht="14.5">
      <c r="D938" s="5"/>
    </row>
    <row r="939" spans="4:4" ht="14.5">
      <c r="D939" s="5"/>
    </row>
    <row r="940" spans="4:4" ht="14.5">
      <c r="D940" s="5"/>
    </row>
    <row r="941" spans="4:4" ht="14.5">
      <c r="D941" s="5"/>
    </row>
    <row r="942" spans="4:4" ht="14.5">
      <c r="D942" s="5"/>
    </row>
    <row r="943" spans="4:4" ht="14.5">
      <c r="D943" s="5"/>
    </row>
    <row r="944" spans="4:4" ht="14.5">
      <c r="D944" s="5"/>
    </row>
    <row r="945" spans="4:4" ht="14.5">
      <c r="D945" s="5"/>
    </row>
    <row r="946" spans="4:4" ht="14.5">
      <c r="D946" s="5"/>
    </row>
    <row r="947" spans="4:4" ht="14.5">
      <c r="D947" s="5"/>
    </row>
    <row r="948" spans="4:4" ht="14.5">
      <c r="D948" s="5"/>
    </row>
    <row r="949" spans="4:4" ht="14.5">
      <c r="D949" s="5"/>
    </row>
    <row r="950" spans="4:4" ht="14.5">
      <c r="D950" s="5"/>
    </row>
    <row r="951" spans="4:4" ht="14.5">
      <c r="D951" s="5"/>
    </row>
    <row r="952" spans="4:4" ht="14.5">
      <c r="D952" s="5"/>
    </row>
    <row r="953" spans="4:4" ht="14.5">
      <c r="D953" s="5"/>
    </row>
    <row r="954" spans="4:4" ht="14.5">
      <c r="D954" s="5"/>
    </row>
    <row r="955" spans="4:4" ht="14.5">
      <c r="D955" s="5"/>
    </row>
    <row r="956" spans="4:4" ht="14.5">
      <c r="D956" s="5"/>
    </row>
    <row r="957" spans="4:4" ht="14.5">
      <c r="D957" s="5"/>
    </row>
    <row r="958" spans="4:4" ht="14.5">
      <c r="D958" s="5"/>
    </row>
    <row r="959" spans="4:4" ht="14.5">
      <c r="D959" s="5"/>
    </row>
    <row r="960" spans="4:4" ht="14.5">
      <c r="D960" s="5"/>
    </row>
    <row r="961" spans="4:4" ht="14.5">
      <c r="D961" s="5"/>
    </row>
    <row r="962" spans="4:4" ht="14.5">
      <c r="D962" s="5"/>
    </row>
    <row r="963" spans="4:4" ht="14.5">
      <c r="D963" s="5"/>
    </row>
    <row r="964" spans="4:4" ht="14.5">
      <c r="D964" s="5"/>
    </row>
    <row r="965" spans="4:4" ht="14.5">
      <c r="D965" s="5"/>
    </row>
    <row r="966" spans="4:4" ht="14.5">
      <c r="D966" s="5"/>
    </row>
    <row r="967" spans="4:4" ht="14.5">
      <c r="D967" s="5"/>
    </row>
    <row r="968" spans="4:4" ht="14.5">
      <c r="D968" s="5"/>
    </row>
    <row r="969" spans="4:4" ht="14.5">
      <c r="D969" s="5"/>
    </row>
    <row r="970" spans="4:4" ht="14.5">
      <c r="D970" s="5"/>
    </row>
    <row r="971" spans="4:4" ht="14.5">
      <c r="D971" s="5"/>
    </row>
    <row r="972" spans="4:4" ht="14.5">
      <c r="D972" s="5"/>
    </row>
    <row r="973" spans="4:4" ht="14.5">
      <c r="D973" s="5"/>
    </row>
    <row r="974" spans="4:4" ht="14.5">
      <c r="D974" s="5"/>
    </row>
    <row r="975" spans="4:4" ht="14.5">
      <c r="D975" s="5"/>
    </row>
    <row r="976" spans="4:4" ht="14.5">
      <c r="D976" s="5"/>
    </row>
    <row r="977" spans="4:4" ht="14.5">
      <c r="D977" s="5"/>
    </row>
    <row r="978" spans="4:4" ht="14.5">
      <c r="D978" s="5"/>
    </row>
    <row r="979" spans="4:4" ht="14.5">
      <c r="D979" s="5"/>
    </row>
    <row r="980" spans="4:4" ht="14.5">
      <c r="D980" s="5"/>
    </row>
    <row r="981" spans="4:4" ht="14.5">
      <c r="D981" s="5"/>
    </row>
    <row r="982" spans="4:4" ht="14.5">
      <c r="D982" s="5"/>
    </row>
    <row r="983" spans="4:4" ht="14.5">
      <c r="D983" s="5"/>
    </row>
    <row r="984" spans="4:4" ht="14.5">
      <c r="D984" s="5"/>
    </row>
    <row r="985" spans="4:4" ht="14.5">
      <c r="D985" s="5"/>
    </row>
    <row r="986" spans="4:4" ht="14.5">
      <c r="D986" s="5"/>
    </row>
    <row r="987" spans="4:4" ht="14.5">
      <c r="D987" s="5"/>
    </row>
    <row r="988" spans="4:4" ht="14.5">
      <c r="D988" s="5"/>
    </row>
    <row r="989" spans="4:4" ht="14.5">
      <c r="D989" s="5"/>
    </row>
    <row r="990" spans="4:4" ht="14.5">
      <c r="D990" s="5"/>
    </row>
    <row r="991" spans="4:4" ht="14.5">
      <c r="D991" s="5"/>
    </row>
    <row r="992" spans="4:4" ht="14.5">
      <c r="D992" s="5"/>
    </row>
    <row r="993" spans="4:4" ht="14.5">
      <c r="D993" s="5"/>
    </row>
    <row r="994" spans="4:4" ht="14.5">
      <c r="D994" s="5"/>
    </row>
    <row r="995" spans="4:4" ht="14.5">
      <c r="D995" s="5"/>
    </row>
    <row r="996" spans="4:4" ht="14.5">
      <c r="D996" s="5"/>
    </row>
    <row r="997" spans="4:4" ht="14.5">
      <c r="D997" s="5"/>
    </row>
    <row r="998" spans="4:4" ht="14.5">
      <c r="D998" s="5"/>
    </row>
    <row r="999" spans="4:4" ht="14.5">
      <c r="D999" s="5"/>
    </row>
    <row r="1000" spans="4:4" ht="14.5">
      <c r="D1000" s="5"/>
    </row>
    <row r="1001" spans="4:4" ht="14.5">
      <c r="D1001" s="5"/>
    </row>
    <row r="1002" spans="4:4" ht="14.5">
      <c r="D1002" s="5"/>
    </row>
  </sheetData>
  <mergeCells count="2">
    <mergeCell ref="F2:F10"/>
    <mergeCell ref="G2:G10"/>
  </mergeCells>
  <hyperlinks>
    <hyperlink ref="G2" r:id="rId1" xr:uid="{00000000-0004-0000-0800-000000000000}"/>
  </hyperlink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2668A0AE57EA4885F1E20853A6E14B" ma:contentTypeVersion="13" ma:contentTypeDescription="Create a new document." ma:contentTypeScope="" ma:versionID="a138902365d0c5156cb419b20b2e478a">
  <xsd:schema xmlns:xsd="http://www.w3.org/2001/XMLSchema" xmlns:xs="http://www.w3.org/2001/XMLSchema" xmlns:p="http://schemas.microsoft.com/office/2006/metadata/properties" xmlns:ns2="3bb7cfd5-d06c-45cb-b3c3-9683284c92b9" xmlns:ns3="5cdc9e7e-dbea-434c-82b8-10144b4ee682" targetNamespace="http://schemas.microsoft.com/office/2006/metadata/properties" ma:root="true" ma:fieldsID="c030997fb069a1cc902d4a0fdc90650b" ns2:_="" ns3:_="">
    <xsd:import namespace="3bb7cfd5-d06c-45cb-b3c3-9683284c92b9"/>
    <xsd:import namespace="5cdc9e7e-dbea-434c-82b8-10144b4ee6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b7cfd5-d06c-45cb-b3c3-9683284c92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e5263c0-7114-47d3-8603-0e3ef132c9e5"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cdc9e7e-dbea-434c-82b8-10144b4ee68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a077c30-6e9c-4c60-b1ce-7fe777a092be}" ma:internalName="TaxCatchAll" ma:showField="CatchAllData" ma:web="5cdc9e7e-dbea-434c-82b8-10144b4ee6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bb7cfd5-d06c-45cb-b3c3-9683284c92b9">
      <Terms xmlns="http://schemas.microsoft.com/office/infopath/2007/PartnerControls"/>
    </lcf76f155ced4ddcb4097134ff3c332f>
    <TaxCatchAll xmlns="5cdc9e7e-dbea-434c-82b8-10144b4ee682" xsi:nil="true"/>
  </documentManagement>
</p:properties>
</file>

<file path=customXml/itemProps1.xml><?xml version="1.0" encoding="utf-8"?>
<ds:datastoreItem xmlns:ds="http://schemas.openxmlformats.org/officeDocument/2006/customXml" ds:itemID="{96430C1F-ABA1-451A-A11E-CB06BD1C14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b7cfd5-d06c-45cb-b3c3-9683284c92b9"/>
    <ds:schemaRef ds:uri="5cdc9e7e-dbea-434c-82b8-10144b4ee6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B90832-8AEC-40AC-A45B-7A7896F7541C}">
  <ds:schemaRefs>
    <ds:schemaRef ds:uri="http://schemas.microsoft.com/sharepoint/v3/contenttype/forms"/>
  </ds:schemaRefs>
</ds:datastoreItem>
</file>

<file path=customXml/itemProps3.xml><?xml version="1.0" encoding="utf-8"?>
<ds:datastoreItem xmlns:ds="http://schemas.openxmlformats.org/officeDocument/2006/customXml" ds:itemID="{3B380D55-3B74-4937-B396-3A67CD2835B8}">
  <ds:schemaRefs>
    <ds:schemaRef ds:uri="http://schemas.microsoft.com/office/2006/metadata/properties"/>
    <ds:schemaRef ds:uri="http://schemas.microsoft.com/office/infopath/2007/PartnerControls"/>
    <ds:schemaRef ds:uri="3bb7cfd5-d06c-45cb-b3c3-9683284c92b9"/>
    <ds:schemaRef ds:uri="5cdc9e7e-dbea-434c-82b8-10144b4ee68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General information Model Van G</vt:lpstr>
      <vt:lpstr>Parameters VG per soil type</vt:lpstr>
      <vt:lpstr>Natural</vt:lpstr>
      <vt:lpstr>Urban - potential sources</vt:lpstr>
      <vt:lpstr>Urban - data collected</vt:lpstr>
      <vt:lpstr>Urban - artefacts compo</vt:lpstr>
      <vt:lpstr>Urban - Profil desc</vt:lpstr>
      <vt:lpstr>Urban - data sources</vt:lpstr>
      <vt:lpstr>classification Technosols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CléliAmbre B</cp:lastModifiedBy>
  <cp:revision/>
  <dcterms:created xsi:type="dcterms:W3CDTF">2026-07-07T12:39:57Z</dcterms:created>
  <dcterms:modified xsi:type="dcterms:W3CDTF">2026-07-20T07:57:07Z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0x010100D52668A0AE57EA4885F1E20853A6E14B</vt:lpwstr>
  </property>
  <property fmtid="{D5CDD505-2E9C-101B-9397-08002B2CF9AE}" pid="3" name="MediaServiceImageTags">
    <vt:lpwstr/>
  </property>
</Properties>
</file>